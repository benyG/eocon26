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s &amp; Scoring" sheetId="1" state="visible" r:id="rId1"/>
    <sheet xmlns:r="http://schemas.openxmlformats.org/officeDocument/2006/relationships" name="Grille de scoring" sheetId="2" state="visible" r:id="rId2"/>
  </sheets>
  <definedNames>
    <definedName name="_xlnm._FilterDatabase" localSheetId="0" hidden="1">'Speakers &amp; Scoring'!$A$2:$V$115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888888"/>
      <sz val="8"/>
    </font>
    <font>
      <name val="Arial"/>
      <sz val="9"/>
    </font>
    <font>
      <name val="Arial"/>
      <b val="1"/>
      <sz val="10"/>
    </font>
    <font>
      <name val="Arial"/>
      <b val="1"/>
      <color rgb="00375623"/>
      <sz val="11"/>
    </font>
    <font>
      <name val="Arial"/>
      <b val="1"/>
      <color rgb="009C6500"/>
      <sz val="11"/>
    </font>
    <font>
      <name val="Arial"/>
      <b val="1"/>
      <color rgb="00375623"/>
      <sz val="12"/>
    </font>
    <font>
      <name val="Arial"/>
      <b val="1"/>
      <color rgb="00375623"/>
      <sz val="10"/>
    </font>
    <font>
      <name val="Arial"/>
      <b val="1"/>
      <color rgb="009C0006"/>
      <sz val="11"/>
    </font>
    <font>
      <name val="Arial"/>
      <b val="1"/>
      <color rgb="009C6500"/>
      <sz val="12"/>
    </font>
    <font>
      <name val="Arial"/>
      <b val="1"/>
      <color rgb="009C6500"/>
      <sz val="10"/>
    </font>
    <font>
      <name val="Arial"/>
      <b val="1"/>
      <color rgb="009C0006"/>
      <sz val="12"/>
    </font>
    <font>
      <name val="Arial"/>
      <b val="1"/>
      <color rgb="009C0006"/>
      <sz val="10"/>
    </font>
    <font>
      <name val="Arial"/>
      <sz val="10"/>
    </font>
    <font>
      <name val="Arial"/>
      <b val="1"/>
      <color rgb="001F4E78"/>
      <sz val="10"/>
    </font>
    <font>
      <name val="Arial"/>
      <b val="1"/>
      <color rgb="00C55A11"/>
      <sz val="10"/>
    </font>
  </fonts>
  <fills count="2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843C0C"/>
        <bgColor rgb="00843C0C"/>
      </patternFill>
    </fill>
    <fill>
      <patternFill patternType="solid">
        <fgColor rgb="00375623"/>
        <bgColor rgb="00375623"/>
      </patternFill>
    </fill>
    <fill>
      <patternFill patternType="solid">
        <fgColor rgb="007B5EA7"/>
        <bgColor rgb="007B5EA7"/>
      </patternFill>
    </fill>
    <fill>
      <patternFill patternType="solid">
        <fgColor rgb="001F6B75"/>
        <bgColor rgb="001F6B75"/>
      </patternFill>
    </fill>
    <fill>
      <patternFill patternType="solid">
        <fgColor rgb="007B7B7B"/>
        <bgColor rgb="007B7B7B"/>
      </patternFill>
    </fill>
    <fill>
      <patternFill patternType="solid">
        <fgColor rgb="00FF0000"/>
        <bgColor rgb="00FF0000"/>
      </patternFill>
    </fill>
    <fill>
      <patternFill patternType="solid">
        <fgColor rgb="00F5F5F5"/>
        <bgColor rgb="00F5F5F5"/>
      </patternFill>
    </fill>
    <fill>
      <patternFill patternType="solid">
        <fgColor rgb="00F8F9FA"/>
        <bgColor rgb="00F8F9FA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4CCCC"/>
        <bgColor rgb="00F4CCCC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1" fontId="6" fillId="13" borderId="1" applyAlignment="1" pivotButton="0" quotePrefix="0" xfId="0">
      <alignment horizontal="center" vertical="center"/>
    </xf>
    <xf numFmtId="1" fontId="7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1" fontId="10" fillId="17" borderId="1" applyAlignment="1" pivotButton="0" quotePrefix="0" xfId="0">
      <alignment horizontal="center" vertical="center"/>
    </xf>
    <xf numFmtId="1" fontId="10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21" borderId="0" applyAlignment="1" pivotButton="0" quotePrefix="0" xfId="0">
      <alignment vertical="top" wrapText="1"/>
    </xf>
    <xf numFmtId="0" fontId="9" fillId="15" borderId="0" applyAlignment="1" pivotButton="0" quotePrefix="0" xfId="0">
      <alignment vertical="top" wrapText="1"/>
    </xf>
    <xf numFmtId="0" fontId="12" fillId="19" borderId="0" applyAlignment="1" pivotButton="0" quotePrefix="0" xfId="0">
      <alignment vertical="top" wrapText="1"/>
    </xf>
    <xf numFmtId="0" fontId="14" fillId="20" borderId="0" applyAlignment="1" pivotButton="0" quotePrefix="0" xfId="0">
      <alignment vertical="top" wrapText="1"/>
    </xf>
    <xf numFmtId="0" fontId="17" fillId="18" borderId="0" applyAlignment="1" pivotButton="0" quotePrefix="0" xfId="0">
      <alignment vertical="top" wrapText="1"/>
    </xf>
    <xf numFmtId="0" fontId="5" fillId="1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22" customWidth="1" min="4" max="4"/>
    <col width="9" customWidth="1" min="5" max="5"/>
    <col width="28" customWidth="1" min="6" max="6"/>
    <col width="18" customWidth="1" min="7" max="7"/>
    <col width="30" customWidth="1" min="8" max="8"/>
    <col width="22" customWidth="1" min="9" max="9"/>
    <col width="22" customWidth="1" min="10" max="10"/>
    <col width="28" customWidth="1" min="11" max="11"/>
    <col width="12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0" customWidth="1" min="20" max="20"/>
    <col width="10" customWidth="1" min="21" max="21"/>
    <col width="16" customWidth="1" min="22" max="22"/>
  </cols>
  <sheetData>
    <row r="1" ht="22" customHeight="1">
      <c r="A1" s="1" t="inlineStr">
        <is>
          <t>IDENTITÉ</t>
        </is>
      </c>
      <c r="E1" s="2" t="inlineStr">
        <is>
          <t>PROFIL SPEAKER</t>
        </is>
      </c>
      <c r="N1" s="3" t="inlineStr">
        <is>
          <t>P1 Pertinence intl.</t>
        </is>
      </c>
      <c r="O1" s="4" t="inlineStr">
        <is>
          <t>P2 Alignement EOCON</t>
        </is>
      </c>
      <c r="P1" s="5" t="inlineStr">
        <is>
          <t>P3 Africanité / Diaspora</t>
        </is>
      </c>
      <c r="Q1" s="6" t="inlineStr">
        <is>
          <t>P4 Budget</t>
        </is>
      </c>
      <c r="R1" s="7" t="inlineStr">
        <is>
          <t>P5 Format</t>
        </is>
      </c>
      <c r="S1" s="8" t="inlineStr">
        <is>
          <t>P6 Visibilité</t>
        </is>
      </c>
      <c r="T1" s="9" t="inlineStr">
        <is>
          <t>INDICE DE PRIORITÉ</t>
        </is>
      </c>
    </row>
    <row r="2" ht="44" customHeight="1">
      <c r="A2" s="10" t="inlineStr">
        <is>
          <t>#</t>
        </is>
      </c>
      <c r="B2" s="10" t="inlineStr">
        <is>
          <t>Nom</t>
        </is>
      </c>
      <c r="C2" s="10" t="inlineStr">
        <is>
          <t>Région</t>
        </is>
      </c>
      <c r="D2" s="10" t="inlineStr">
        <is>
          <t>Pays</t>
        </is>
      </c>
      <c r="E2" s="11" t="inlineStr">
        <is>
          <t>Langue(s)</t>
        </is>
      </c>
      <c r="F2" s="11" t="inlineStr">
        <is>
          <t>Organisation / Poste</t>
        </is>
      </c>
      <c r="G2" s="11" t="inlineStr">
        <is>
          <t>Format conseillé</t>
        </is>
      </c>
      <c r="H2" s="11" t="inlineStr">
        <is>
          <t>Thématique</t>
        </is>
      </c>
      <c r="I2" s="11" t="inlineStr">
        <is>
          <t>Cachet / Budget</t>
        </is>
      </c>
      <c r="J2" s="11" t="inlineStr">
        <is>
          <t>Email</t>
        </is>
      </c>
      <c r="K2" s="11" t="inlineStr">
        <is>
          <t>LinkedIn / Site Web</t>
        </is>
      </c>
      <c r="L2" s="11" t="inlineStr">
        <is>
          <t>Statut</t>
        </is>
      </c>
      <c r="M2" s="11" t="inlineStr">
        <is>
          <t>Source</t>
        </is>
      </c>
      <c r="N2" s="12" t="inlineStr">
        <is>
          <t>P1 — Pertinence internationale
(25%)</t>
        </is>
      </c>
      <c r="O2" s="13" t="inlineStr">
        <is>
          <t>P2 — Alignement thématique EOCON
(20%)</t>
        </is>
      </c>
      <c r="P2" s="14" t="inlineStr">
        <is>
          <t>P3 — Africanité / Diaspora
(20%)</t>
        </is>
      </c>
      <c r="Q2" s="15" t="inlineStr">
        <is>
          <t>P4 — Accessibilité &amp; Budget
(15%)</t>
        </is>
      </c>
      <c r="R2" s="16" t="inlineStr">
        <is>
          <t>P5 — Adéquation format
(10%)</t>
        </is>
      </c>
      <c r="S2" s="17" t="inlineStr">
        <is>
          <t>P6 — Visibilité &amp; Rayonnement
(10%)</t>
        </is>
      </c>
      <c r="T2" s="18" t="inlineStr">
        <is>
          <t>IP
(/100)</t>
        </is>
      </c>
      <c r="U2" s="18" t="inlineStr">
        <is>
          <t>TIER</t>
        </is>
      </c>
      <c r="V2" s="18" t="inlineStr">
        <is>
          <t>Séquence contact</t>
        </is>
      </c>
    </row>
    <row r="3" ht="14" customHeight="1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inlineStr">
        <is>
          <t>0–29 local | 30–59 régional | 60–79 intl. | 80–100 top</t>
        </is>
      </c>
      <c r="O3" s="19" t="inlineStr">
        <is>
          <t>0–49 éloigné | 50–69 partiel | 70–89 bon | 90–100 parfait</t>
        </is>
      </c>
      <c r="P3" s="19" t="inlineStr">
        <is>
          <t>0–29 aucun | 30–59 indirect | 70–89 diaspora | 90–100 Africain engagé</t>
        </is>
      </c>
      <c r="Q3" s="19" t="inlineStr">
        <is>
          <t>0–19 bureau speakers | 20–39 payant | 40–69 inconnu | 70–89 frais | 90–100 gratuit</t>
        </is>
      </c>
      <c r="R3" s="19" t="inlineStr">
        <is>
          <t>0–49 doublon | 50–69 ok | 70–89 bon | 90–100 niche unique</t>
        </is>
      </c>
      <c r="S3" s="19" t="inlineStr">
        <is>
          <t>0–29 discret | 30–59 modéré | 60–79 actif | 80–100 très visible</t>
        </is>
      </c>
      <c r="T3" s="19" t="n"/>
      <c r="U3" s="19" t="n"/>
      <c r="V3" s="19" t="n"/>
    </row>
    <row r="4" ht="52" customHeight="1">
      <c r="A4" s="20" t="n">
        <v>1</v>
      </c>
      <c r="B4" s="21" t="inlineStr">
        <is>
          <t>Jean-Robert Hountomey</t>
        </is>
      </c>
      <c r="C4" s="22" t="inlineStr">
        <is>
          <t>Afrique</t>
        </is>
      </c>
      <c r="D4" s="22" t="inlineStr">
        <is>
          <t>Bénin (Cotonou)</t>
        </is>
      </c>
      <c r="E4" s="22" t="inlineStr">
        <is>
          <t>FR, EN</t>
        </is>
      </c>
      <c r="F4" s="22" t="n"/>
      <c r="G4" s="22" t="inlineStr">
        <is>
          <t>Keynote / Panel</t>
        </is>
      </c>
      <c r="H4" s="22" t="inlineStr">
        <is>
          <t>Menaces émergentes en Afrique, GRC, CERT/CSIRT, vulnérabilités</t>
        </is>
      </c>
      <c r="I4" s="22" t="inlineStr">
        <is>
          <t>Inconnu, probablement représentation officielle/gratuit</t>
        </is>
      </c>
      <c r="J4" s="22" t="n"/>
      <c r="K4" s="22" t="inlineStr">
        <is>
          <t>Via AfricaCERT / RSA Conference profile / LinkedIn</t>
        </is>
      </c>
      <c r="L4" s="22" t="inlineStr">
        <is>
          <t>À qualifier</t>
        </is>
      </c>
      <c r="M4" s="22" t="inlineStr">
        <is>
          <t>Recherche manuelle / web</t>
        </is>
      </c>
      <c r="N4" s="23" t="n">
        <v>85</v>
      </c>
      <c r="O4" s="23" t="n">
        <v>85</v>
      </c>
      <c r="P4" s="23" t="n">
        <v>100</v>
      </c>
      <c r="Q4" s="23" t="n">
        <v>80</v>
      </c>
      <c r="R4" s="23" t="n">
        <v>80</v>
      </c>
      <c r="S4" s="24" t="n">
        <v>75</v>
      </c>
      <c r="T4" s="25">
        <f>ROUND((N4*0.25+O4*0.20+P4*0.20+Q4*0.15+R4*0.10+S4*0.10),0)</f>
        <v/>
      </c>
      <c r="U4" s="26">
        <f>IF(T4&gt;=75,"Tier 1 — Prioritaire",IF(T4&gt;=50,"Tier 2 — À cultiver","Tier 3 — Réserve"))</f>
        <v/>
      </c>
      <c r="V4" s="22">
        <f>IF(T4&gt;=75,"J+0 à J+14 — Contact direct personnalisé",IF(T4&gt;=50,"J+30 — Approche CFP ou réseau commun","J+60 — CFP seulement / liste de réserve"))</f>
        <v/>
      </c>
    </row>
    <row r="5" ht="52" customHeight="1">
      <c r="A5" s="27" t="n">
        <v>2</v>
      </c>
      <c r="B5" s="28" t="inlineStr">
        <is>
          <t>Confidence Staveley</t>
        </is>
      </c>
      <c r="C5" s="29" t="inlineStr">
        <is>
          <t>Afrique/Diaspora</t>
        </is>
      </c>
      <c r="D5" s="29" t="inlineStr">
        <is>
          <t>Nigeria / USA (Atlanta)</t>
        </is>
      </c>
      <c r="E5" s="29" t="inlineStr">
        <is>
          <t>EN</t>
        </is>
      </c>
      <c r="F5" s="29" t="inlineStr">
        <is>
          <t>Founder &amp; Executive Director — CyberSafe Foundation</t>
        </is>
      </c>
      <c r="G5" s="29" t="inlineStr">
        <is>
          <t>Keynote international</t>
        </is>
      </c>
      <c r="H5" s="29" t="inlineStr">
        <is>
          <t>AppSec/API, sensibilisation, IA, diversité</t>
        </is>
      </c>
      <c r="I5" s="29" t="inlineStr">
        <is>
          <t>Payant — 10 000 à 20 000 $ (live)</t>
        </is>
      </c>
      <c r="J5" s="29" t="inlineStr">
        <is>
          <t>Non trouvé</t>
        </is>
      </c>
      <c r="K5" s="29" t="inlineStr">
        <is>
          <t>https://www.linkedin.com/in/confidencestaveley ; https://confidencestaveley.com/</t>
        </is>
      </c>
      <c r="L5" s="29" t="inlineStr">
        <is>
          <t>À qualifier</t>
        </is>
      </c>
      <c r="M5" s="29" t="inlineStr">
        <is>
          <t>Recherche manuelle / Vague1</t>
        </is>
      </c>
      <c r="N5" s="23" t="n">
        <v>95</v>
      </c>
      <c r="O5" s="23" t="n">
        <v>95</v>
      </c>
      <c r="P5" s="23" t="n">
        <v>100</v>
      </c>
      <c r="Q5" s="30" t="n">
        <v>25</v>
      </c>
      <c r="R5" s="23" t="n">
        <v>85</v>
      </c>
      <c r="S5" s="23" t="n">
        <v>100</v>
      </c>
      <c r="T5" s="25">
        <f>ROUND((N5*0.25+O5*0.20+P5*0.20+Q5*0.15+R5*0.10+S5*0.10),0)</f>
        <v/>
      </c>
      <c r="U5" s="26">
        <f>IF(T5&gt;=75,"Tier 1 — Prioritaire",IF(T5&gt;=50,"Tier 2 — À cultiver","Tier 3 — Réserve"))</f>
        <v/>
      </c>
      <c r="V5" s="29">
        <f>IF(T5&gt;=75,"J+0 à J+14 — Contact direct personnalisé",IF(T5&gt;=50,"J+30 — Approche CFP ou réseau commun","J+60 — CFP seulement / liste de réserve"))</f>
        <v/>
      </c>
    </row>
    <row r="6" ht="52" customHeight="1">
      <c r="A6" s="20" t="n">
        <v>3</v>
      </c>
      <c r="B6" s="21" t="inlineStr">
        <is>
          <t>Dr Bright Gameli Mawudor</t>
        </is>
      </c>
      <c r="C6" s="22" t="inlineStr">
        <is>
          <t>Afrique</t>
        </is>
      </c>
      <c r="D6" s="22" t="inlineStr">
        <is>
          <t>Kenya</t>
        </is>
      </c>
      <c r="E6" s="22" t="inlineStr">
        <is>
          <t>EN, SW</t>
        </is>
      </c>
      <c r="F6" s="22" t="n"/>
      <c r="G6" s="22" t="inlineStr">
        <is>
          <t>Keynote / Workshop</t>
        </is>
      </c>
      <c r="H6" s="22" t="inlineStr">
        <is>
          <t>Offensive Security, Web3, formation</t>
        </is>
      </c>
      <c r="I6" s="22" t="n"/>
      <c r="J6" s="22" t="n"/>
      <c r="K6" s="22" t="n"/>
      <c r="L6" s="22" t="inlineStr">
        <is>
          <t>À qualifier</t>
        </is>
      </c>
      <c r="M6" s="22" t="inlineStr">
        <is>
          <t>Vague2 - vérifié (Cyberweek Africa)</t>
        </is>
      </c>
      <c r="N6" s="23" t="n">
        <v>80</v>
      </c>
      <c r="O6" s="23" t="n">
        <v>85</v>
      </c>
      <c r="P6" s="23" t="n">
        <v>100</v>
      </c>
      <c r="Q6" s="24" t="n">
        <v>70</v>
      </c>
      <c r="R6" s="23" t="n">
        <v>90</v>
      </c>
      <c r="S6" s="23" t="n">
        <v>85</v>
      </c>
      <c r="T6" s="25">
        <f>ROUND((N6*0.25+O6*0.20+P6*0.20+Q6*0.15+R6*0.10+S6*0.10),0)</f>
        <v/>
      </c>
      <c r="U6" s="26">
        <f>IF(T6&gt;=75,"Tier 1 — Prioritaire",IF(T6&gt;=50,"Tier 2 — À cultiver","Tier 3 — Réserve"))</f>
        <v/>
      </c>
      <c r="V6" s="22">
        <f>IF(T6&gt;=75,"J+0 à J+14 — Contact direct personnalisé",IF(T6&gt;=50,"J+30 — Approche CFP ou réseau commun","J+60 — CFP seulement / liste de réserve"))</f>
        <v/>
      </c>
    </row>
    <row r="7" ht="52" customHeight="1">
      <c r="A7" s="27" t="n">
        <v>4</v>
      </c>
      <c r="B7" s="28" t="inlineStr">
        <is>
          <t>Dr Karim Ganame</t>
        </is>
      </c>
      <c r="C7" s="29" t="inlineStr">
        <is>
          <t>Afrique/Canada</t>
        </is>
      </c>
      <c r="D7" s="29" t="inlineStr">
        <is>
          <t>Canada (Montréal, QC) — origine Burkina Faso</t>
        </is>
      </c>
      <c r="E7" s="29" t="inlineStr">
        <is>
          <t>FR, EN</t>
        </is>
      </c>
      <c r="F7" s="29" t="n"/>
      <c r="G7" s="29" t="inlineStr">
        <is>
          <t>Keynote / Talk technique</t>
        </is>
      </c>
      <c r="H7" s="29" t="inlineStr">
        <is>
          <t>IA &amp; cybersécurité, détection menaces, SOC hybride</t>
        </is>
      </c>
      <c r="I7" s="29" t="inlineStr">
        <is>
          <t>Payant probable, ouverture Afrique plausible</t>
        </is>
      </c>
      <c r="J7" s="29" t="n"/>
      <c r="K7" s="29" t="inlineStr">
        <is>
          <t>streamscan.ai (contact) — enseigne à Polytechnique Montréal</t>
        </is>
      </c>
      <c r="L7" s="29" t="inlineStr">
        <is>
          <t>À qualifier</t>
        </is>
      </c>
      <c r="M7" s="29" t="inlineStr">
        <is>
          <t>Recherche manuelle / web</t>
        </is>
      </c>
      <c r="N7" s="23" t="n">
        <v>90</v>
      </c>
      <c r="O7" s="23" t="n">
        <v>95</v>
      </c>
      <c r="P7" s="23" t="n">
        <v>85</v>
      </c>
      <c r="Q7" s="31" t="n">
        <v>50</v>
      </c>
      <c r="R7" s="23" t="n">
        <v>90</v>
      </c>
      <c r="S7" s="24" t="n">
        <v>70</v>
      </c>
      <c r="T7" s="25">
        <f>ROUND((N7*0.25+O7*0.20+P7*0.20+Q7*0.15+R7*0.10+S7*0.10),0)</f>
        <v/>
      </c>
      <c r="U7" s="26">
        <f>IF(T7&gt;=75,"Tier 1 — Prioritaire",IF(T7&gt;=50,"Tier 2 — À cultiver","Tier 3 — Réserve"))</f>
        <v/>
      </c>
      <c r="V7" s="29">
        <f>IF(T7&gt;=75,"J+0 à J+14 — Contact direct personnalisé",IF(T7&gt;=50,"J+30 — Approche CFP ou réseau commun","J+60 — CFP seulement / liste de réserve"))</f>
        <v/>
      </c>
    </row>
    <row r="8" ht="52" customHeight="1">
      <c r="A8" s="20" t="n">
        <v>5</v>
      </c>
      <c r="B8" s="21" t="inlineStr">
        <is>
          <t>Ouanilo Medegan Fagla</t>
        </is>
      </c>
      <c r="C8" s="22" t="inlineStr">
        <is>
          <t>Afrique</t>
        </is>
      </c>
      <c r="D8" s="22" t="inlineStr">
        <is>
          <t>Bénin</t>
        </is>
      </c>
      <c r="E8" s="22" t="inlineStr">
        <is>
          <t>FR, EN</t>
        </is>
      </c>
      <c r="F8" s="22" t="n"/>
      <c r="G8" s="22" t="inlineStr">
        <is>
          <t>Keynote institutionnel / Panel</t>
        </is>
      </c>
      <c r="H8" s="22" t="inlineStr">
        <is>
          <t>Souveraineté numérique, lutte cybercriminalité</t>
        </is>
      </c>
      <c r="I8" s="22" t="inlineStr">
        <is>
          <t>Gratuit probable</t>
        </is>
      </c>
      <c r="J8" s="22" t="n"/>
      <c r="K8" s="22" t="inlineStr">
        <is>
          <t>linkedin.com/in/medegan</t>
        </is>
      </c>
      <c r="L8" s="22" t="inlineStr">
        <is>
          <t>À qualifier</t>
        </is>
      </c>
      <c r="M8" s="22" t="inlineStr">
        <is>
          <t>Recherche manuelle / web</t>
        </is>
      </c>
      <c r="N8" s="24" t="n">
        <v>75</v>
      </c>
      <c r="O8" s="23" t="n">
        <v>80</v>
      </c>
      <c r="P8" s="23" t="n">
        <v>100</v>
      </c>
      <c r="Q8" s="23" t="n">
        <v>85</v>
      </c>
      <c r="R8" s="24" t="n">
        <v>75</v>
      </c>
      <c r="S8" s="24" t="n">
        <v>60</v>
      </c>
      <c r="T8" s="25">
        <f>ROUND((N8*0.25+O8*0.20+P8*0.20+Q8*0.15+R8*0.10+S8*0.10),0)</f>
        <v/>
      </c>
      <c r="U8" s="26">
        <f>IF(T8&gt;=75,"Tier 1 — Prioritaire",IF(T8&gt;=50,"Tier 2 — À cultiver","Tier 3 — Réserve"))</f>
        <v/>
      </c>
      <c r="V8" s="22">
        <f>IF(T8&gt;=75,"J+0 à J+14 — Contact direct personnalisé",IF(T8&gt;=50,"J+30 — Approche CFP ou réseau commun","J+60 — CFP seulement / liste de réserve"))</f>
        <v/>
      </c>
    </row>
    <row r="9" ht="52" customHeight="1">
      <c r="A9" s="27" t="n">
        <v>6</v>
      </c>
      <c r="B9" s="28" t="inlineStr">
        <is>
          <t>Vandana Verma Sehgal</t>
        </is>
      </c>
      <c r="C9" s="29" t="inlineStr">
        <is>
          <t>Asie</t>
        </is>
      </c>
      <c r="D9" s="29" t="inlineStr">
        <is>
          <t>Inde (Bangalore)</t>
        </is>
      </c>
      <c r="E9" s="29" t="inlineStr">
        <is>
          <t>EN, HI</t>
        </is>
      </c>
      <c r="F9" s="29" t="n"/>
      <c r="G9" s="29" t="inlineStr">
        <is>
          <t>Keynote / Talk / Workshop</t>
        </is>
      </c>
      <c r="H9" s="29" t="inlineStr">
        <is>
          <t>AppSec, DevSecOps, IA &amp; cybersécurité (LLM/MCP security), Cloud Security</t>
        </is>
      </c>
      <c r="I9" s="29" t="inlineStr">
        <is>
          <t>Gratuit — toutes ses conférences sont pro bono</t>
        </is>
      </c>
      <c r="J9" s="29" t="n"/>
      <c r="K9" s="29" t="inlineStr">
        <is>
          <t>infosecvandana.com, in.linkedin.com/in/vandana-verma, @InfosecVandana</t>
        </is>
      </c>
      <c r="L9" s="29" t="inlineStr">
        <is>
          <t>À qualifier</t>
        </is>
      </c>
      <c r="M9" s="29" t="inlineStr">
        <is>
          <t>Recherche manuelle / web</t>
        </is>
      </c>
      <c r="N9" s="23" t="n">
        <v>90</v>
      </c>
      <c r="O9" s="23" t="n">
        <v>90</v>
      </c>
      <c r="P9" s="30" t="n">
        <v>30</v>
      </c>
      <c r="Q9" s="23" t="n">
        <v>100</v>
      </c>
      <c r="R9" s="23" t="n">
        <v>95</v>
      </c>
      <c r="S9" s="23" t="n">
        <v>85</v>
      </c>
      <c r="T9" s="25">
        <f>ROUND((N9*0.25+O9*0.20+P9*0.20+Q9*0.15+R9*0.10+S9*0.10),0)</f>
        <v/>
      </c>
      <c r="U9" s="26">
        <f>IF(T9&gt;=75,"Tier 1 — Prioritaire",IF(T9&gt;=50,"Tier 2 — À cultiver","Tier 3 — Réserve"))</f>
        <v/>
      </c>
      <c r="V9" s="29">
        <f>IF(T9&gt;=75,"J+0 à J+14 — Contact direct personnalisé",IF(T9&gt;=50,"J+30 — Approche CFP ou réseau commun","J+60 — CFP seulement / liste de réserve"))</f>
        <v/>
      </c>
    </row>
    <row r="10" ht="52" customHeight="1">
      <c r="A10" s="20" t="n">
        <v>7</v>
      </c>
      <c r="B10" s="21" t="inlineStr">
        <is>
          <t>Kerissa Varma</t>
        </is>
      </c>
      <c r="C10" s="22" t="inlineStr">
        <is>
          <t>Amérique / Afrique</t>
        </is>
      </c>
      <c r="D10" s="22" t="inlineStr">
        <is>
          <t>USA (Redmond) / Afrique du Sud</t>
        </is>
      </c>
      <c r="E10" s="22" t="inlineStr">
        <is>
          <t>EN</t>
        </is>
      </c>
      <c r="F10" s="22" t="inlineStr">
        <is>
          <t>Chief Security Advisor Africa; Founder/President WiCyS Southern Africa — Microsoft Africa / WiCyS Southern Africa</t>
        </is>
      </c>
      <c r="G10" s="22" t="inlineStr">
        <is>
          <t>Keynote / Panel</t>
        </is>
      </c>
      <c r="H10" s="22" t="inlineStr">
        <is>
          <t>Leadership cyber, women in cyber</t>
        </is>
      </c>
      <c r="I10" s="22" t="inlineStr">
        <is>
          <t>Inconnu, probablement élevé</t>
        </is>
      </c>
      <c r="J10" s="22" t="inlineStr">
        <is>
          <t>[email protected] (WiCyS affiliate)</t>
        </is>
      </c>
      <c r="K10" s="22" t="inlineStr">
        <is>
          <t>https://www.linkedin.com/in/kerissavarma/ ; https://www.wicys.org/wicys-southern-africa-affiliate/</t>
        </is>
      </c>
      <c r="L10" s="22" t="inlineStr">
        <is>
          <t>À qualifier</t>
        </is>
      </c>
      <c r="M10" s="22" t="inlineStr">
        <is>
          <t>Vague1 - vérifié</t>
        </is>
      </c>
      <c r="N10" s="23" t="n">
        <v>80</v>
      </c>
      <c r="O10" s="23" t="n">
        <v>80</v>
      </c>
      <c r="P10" s="23" t="n">
        <v>85</v>
      </c>
      <c r="Q10" s="31" t="n">
        <v>55</v>
      </c>
      <c r="R10" s="23" t="n">
        <v>80</v>
      </c>
      <c r="S10" s="23" t="n">
        <v>80</v>
      </c>
      <c r="T10" s="25">
        <f>ROUND((N10*0.25+O10*0.20+P10*0.20+Q10*0.15+R10*0.10+S10*0.10),0)</f>
        <v/>
      </c>
      <c r="U10" s="26">
        <f>IF(T10&gt;=75,"Tier 1 — Prioritaire",IF(T10&gt;=50,"Tier 2 — À cultiver","Tier 3 — Réserve"))</f>
        <v/>
      </c>
      <c r="V10" s="22">
        <f>IF(T10&gt;=75,"J+0 à J+14 — Contact direct personnalisé",IF(T10&gt;=50,"J+30 — Approche CFP ou réseau commun","J+60 — CFP seulement / liste de réserve"))</f>
        <v/>
      </c>
    </row>
    <row r="11" ht="52" customHeight="1">
      <c r="A11" s="27" t="n">
        <v>8</v>
      </c>
      <c r="B11" s="28" t="inlineStr">
        <is>
          <t>Landry Nguetsop, CISA</t>
        </is>
      </c>
      <c r="C11" s="29" t="inlineStr">
        <is>
          <t>Afrique</t>
        </is>
      </c>
      <c r="D11" s="29" t="inlineStr">
        <is>
          <t>Cameroun (Douala)</t>
        </is>
      </c>
      <c r="E11" s="29" t="inlineStr">
        <is>
          <t>FR, EN</t>
        </is>
      </c>
      <c r="F11" s="29" t="n"/>
      <c r="G11" s="29" t="inlineStr">
        <is>
          <t>Talk / Panel</t>
        </is>
      </c>
      <c r="H11" s="29" t="inlineStr">
        <is>
          <t>GRC, Privacy, Gouvernance</t>
        </is>
      </c>
      <c r="I11" s="29" t="inlineStr">
        <is>
          <t>Probablement gratuit</t>
        </is>
      </c>
      <c r="J11" s="29" t="n"/>
      <c r="K11" s="29" t="inlineStr">
        <is>
          <t>linkedin.com/in/landry-nguetsop — Orange Money Cameroun</t>
        </is>
      </c>
      <c r="L11" s="29" t="inlineStr">
        <is>
          <t>À qualifier</t>
        </is>
      </c>
      <c r="M11" s="29" t="inlineStr">
        <is>
          <t>Recherche manuelle / web</t>
        </is>
      </c>
      <c r="N11" s="31" t="n">
        <v>55</v>
      </c>
      <c r="O11" s="23" t="n">
        <v>80</v>
      </c>
      <c r="P11" s="23" t="n">
        <v>95</v>
      </c>
      <c r="Q11" s="23" t="n">
        <v>100</v>
      </c>
      <c r="R11" s="24" t="n">
        <v>75</v>
      </c>
      <c r="S11" s="31" t="n">
        <v>50</v>
      </c>
      <c r="T11" s="25">
        <f>ROUND((N11*0.25+O11*0.20+P11*0.20+Q11*0.15+R11*0.10+S11*0.10),0)</f>
        <v/>
      </c>
      <c r="U11" s="26">
        <f>IF(T11&gt;=75,"Tier 1 — Prioritaire",IF(T11&gt;=50,"Tier 2 — À cultiver","Tier 3 — Réserve"))</f>
        <v/>
      </c>
      <c r="V11" s="29">
        <f>IF(T11&gt;=75,"J+0 à J+14 — Contact direct personnalisé",IF(T11&gt;=50,"J+30 — Approche CFP ou réseau commun","J+60 — CFP seulement / liste de réserve"))</f>
        <v/>
      </c>
    </row>
    <row r="12" ht="52" customHeight="1">
      <c r="A12" s="20" t="n">
        <v>9</v>
      </c>
      <c r="B12" s="21" t="inlineStr">
        <is>
          <t>Clément Domingo ("SAXX")</t>
        </is>
      </c>
      <c r="C12" s="22" t="inlineStr">
        <is>
          <t>Afrique</t>
        </is>
      </c>
      <c r="D12" s="22" t="inlineStr">
        <is>
          <t>Sénégal / France (mobile)</t>
        </is>
      </c>
      <c r="E12" s="22" t="inlineStr">
        <is>
          <t>FR, EN</t>
        </is>
      </c>
      <c r="F12" s="22" t="n"/>
      <c r="G12" s="22" t="inlineStr">
        <is>
          <t>Talk / Panel</t>
        </is>
      </c>
      <c r="H12" s="22" t="inlineStr">
        <is>
          <t>Sensibilisation, numérique de confiance</t>
        </is>
      </c>
      <c r="I12" s="22" t="inlineStr">
        <is>
          <t>Inconnu, probablement modéré</t>
        </is>
      </c>
      <c r="J12" s="22" t="n"/>
      <c r="K12" s="22" t="inlineStr">
        <is>
          <t>sn.linkedin.com/in/clementdomingo</t>
        </is>
      </c>
      <c r="L12" s="22" t="inlineStr">
        <is>
          <t>À qualifier</t>
        </is>
      </c>
      <c r="M12" s="22" t="inlineStr">
        <is>
          <t>Recherche manuelle / web</t>
        </is>
      </c>
      <c r="N12" s="24" t="n">
        <v>70</v>
      </c>
      <c r="O12" s="24" t="n">
        <v>75</v>
      </c>
      <c r="P12" s="23" t="n">
        <v>90</v>
      </c>
      <c r="Q12" s="24" t="n">
        <v>70</v>
      </c>
      <c r="R12" s="24" t="n">
        <v>75</v>
      </c>
      <c r="S12" s="24" t="n">
        <v>75</v>
      </c>
      <c r="T12" s="25">
        <f>ROUND((N12*0.25+O12*0.20+P12*0.20+Q12*0.15+R12*0.10+S12*0.10),0)</f>
        <v/>
      </c>
      <c r="U12" s="26">
        <f>IF(T12&gt;=75,"Tier 1 — Prioritaire",IF(T12&gt;=50,"Tier 2 — À cultiver","Tier 3 — Réserve"))</f>
        <v/>
      </c>
      <c r="V12" s="22">
        <f>IF(T12&gt;=75,"J+0 à J+14 — Contact direct personnalisé",IF(T12&gt;=50,"J+30 — Approche CFP ou réseau commun","J+60 — CFP seulement / liste de réserve"))</f>
        <v/>
      </c>
    </row>
    <row r="13" ht="52" customHeight="1">
      <c r="A13" s="27" t="n">
        <v>10</v>
      </c>
      <c r="B13" s="28" t="inlineStr">
        <is>
          <t>Elberson Tef Djogap</t>
        </is>
      </c>
      <c r="C13" s="29" t="inlineStr">
        <is>
          <t>Afrique</t>
        </is>
      </c>
      <c r="D13" s="29" t="inlineStr">
        <is>
          <t>Cameroun</t>
        </is>
      </c>
      <c r="E13" s="29" t="inlineStr">
        <is>
          <t>FR, EN</t>
        </is>
      </c>
      <c r="F13" s="29" t="n"/>
      <c r="G13" s="29" t="inlineStr">
        <is>
          <t>Talk technique</t>
        </is>
      </c>
      <c r="H13" s="29" t="inlineStr">
        <is>
          <t>OT/ICS/SCADA, pentest industriel</t>
        </is>
      </c>
      <c r="I13" s="29" t="inlineStr">
        <is>
          <t>Gratuit quasi-certain</t>
        </is>
      </c>
      <c r="J13" s="29" t="n"/>
      <c r="K13" s="29" t="inlineStr">
        <is>
          <t>Via réseau EOCON / LinkedIn Cameroun</t>
        </is>
      </c>
      <c r="L13" s="29" t="inlineStr">
        <is>
          <t>À qualifier</t>
        </is>
      </c>
      <c r="M13" s="29" t="inlineStr">
        <is>
          <t>Recherche manuelle / web</t>
        </is>
      </c>
      <c r="N13" s="31" t="n">
        <v>55</v>
      </c>
      <c r="O13" s="23" t="n">
        <v>90</v>
      </c>
      <c r="P13" s="23" t="n">
        <v>90</v>
      </c>
      <c r="Q13" s="23" t="n">
        <v>95</v>
      </c>
      <c r="R13" s="23" t="n">
        <v>85</v>
      </c>
      <c r="S13" s="31" t="n">
        <v>40</v>
      </c>
      <c r="T13" s="25">
        <f>ROUND((N13*0.25+O13*0.20+P13*0.20+Q13*0.15+R13*0.10+S13*0.10),0)</f>
        <v/>
      </c>
      <c r="U13" s="26">
        <f>IF(T13&gt;=75,"Tier 1 — Prioritaire",IF(T13&gt;=50,"Tier 2 — À cultiver","Tier 3 — Réserve"))</f>
        <v/>
      </c>
      <c r="V13" s="29">
        <f>IF(T13&gt;=75,"J+0 à J+14 — Contact direct personnalisé",IF(T13&gt;=50,"J+30 — Approche CFP ou réseau commun","J+60 — CFP seulement / liste de réserve"))</f>
        <v/>
      </c>
    </row>
    <row r="14" ht="52" customHeight="1">
      <c r="A14" s="20" t="n">
        <v>11</v>
      </c>
      <c r="B14" s="21" t="inlineStr">
        <is>
          <t>Hanniel Jafaru</t>
        </is>
      </c>
      <c r="C14" s="22" t="inlineStr">
        <is>
          <t>Afrique</t>
        </is>
      </c>
      <c r="D14" s="22" t="inlineStr">
        <is>
          <t>Nigeria</t>
        </is>
      </c>
      <c r="E14" s="22" t="inlineStr">
        <is>
          <t>EN</t>
        </is>
      </c>
      <c r="F14" s="22" t="n"/>
      <c r="G14" s="22" t="inlineStr">
        <is>
          <t>Talk / Panel</t>
        </is>
      </c>
      <c r="H14" s="22" t="inlineStr">
        <is>
          <t>IA Governance, CSEAN, Afrique</t>
        </is>
      </c>
      <c r="I14" s="22" t="n"/>
      <c r="J14" s="22" t="n"/>
      <c r="K14" s="22" t="n"/>
      <c r="L14" s="22" t="inlineStr">
        <is>
          <t>À qualifier</t>
        </is>
      </c>
      <c r="M14" s="22" t="inlineStr">
        <is>
          <t>Vague1 - vérifié</t>
        </is>
      </c>
      <c r="N14" s="24" t="n">
        <v>65</v>
      </c>
      <c r="O14" s="23" t="n">
        <v>80</v>
      </c>
      <c r="P14" s="23" t="n">
        <v>90</v>
      </c>
      <c r="Q14" s="23" t="n">
        <v>80</v>
      </c>
      <c r="R14" s="24" t="n">
        <v>75</v>
      </c>
      <c r="S14" s="24" t="n">
        <v>65</v>
      </c>
      <c r="T14" s="25">
        <f>ROUND((N14*0.25+O14*0.20+P14*0.20+Q14*0.15+R14*0.10+S14*0.10),0)</f>
        <v/>
      </c>
      <c r="U14" s="26">
        <f>IF(T14&gt;=75,"Tier 1 — Prioritaire",IF(T14&gt;=50,"Tier 2 — À cultiver","Tier 3 — Réserve"))</f>
        <v/>
      </c>
      <c r="V14" s="22">
        <f>IF(T14&gt;=75,"J+0 à J+14 — Contact direct personnalisé",IF(T14&gt;=50,"J+30 — Approche CFP ou réseau commun","J+60 — CFP seulement / liste de réserve"))</f>
        <v/>
      </c>
    </row>
    <row r="15" ht="52" customHeight="1">
      <c r="A15" s="27" t="n">
        <v>12</v>
      </c>
      <c r="B15" s="28" t="inlineStr">
        <is>
          <t>Mercy Omolo</t>
        </is>
      </c>
      <c r="C15" s="29" t="inlineStr">
        <is>
          <t>Afrique</t>
        </is>
      </c>
      <c r="D15" s="29" t="inlineStr">
        <is>
          <t>Kenya</t>
        </is>
      </c>
      <c r="E15" s="29" t="inlineStr">
        <is>
          <t>EN, SW</t>
        </is>
      </c>
      <c r="F15" s="29" t="inlineStr">
        <is>
          <t>Former President — ISACA Kenya</t>
        </is>
      </c>
      <c r="G15" s="29" t="inlineStr">
        <is>
          <t>Talk / Panel</t>
        </is>
      </c>
      <c r="H15" s="29" t="inlineStr">
        <is>
          <t>GRC, audit, risk</t>
        </is>
      </c>
      <c r="I15" s="29" t="inlineStr">
        <is>
          <t>Inconnu, probablement moyen</t>
        </is>
      </c>
      <c r="J15" s="29" t="n"/>
      <c r="K15" s="29" t="inlineStr">
        <is>
          <t>Non trouvé ; https://www.cyberweekafrica.com/</t>
        </is>
      </c>
      <c r="L15" s="29" t="inlineStr">
        <is>
          <t>À qualifier</t>
        </is>
      </c>
      <c r="M15" s="29" t="inlineStr">
        <is>
          <t>Vague2 - vérifié (Cyberweek Africa)</t>
        </is>
      </c>
      <c r="N15" s="24" t="n">
        <v>65</v>
      </c>
      <c r="O15" s="24" t="n">
        <v>75</v>
      </c>
      <c r="P15" s="23" t="n">
        <v>90</v>
      </c>
      <c r="Q15" s="23" t="n">
        <v>85</v>
      </c>
      <c r="R15" s="24" t="n">
        <v>75</v>
      </c>
      <c r="S15" s="24" t="n">
        <v>65</v>
      </c>
      <c r="T15" s="25">
        <f>ROUND((N15*0.25+O15*0.20+P15*0.20+Q15*0.15+R15*0.10+S15*0.10),0)</f>
        <v/>
      </c>
      <c r="U15" s="26">
        <f>IF(T15&gt;=75,"Tier 1 — Prioritaire",IF(T15&gt;=50,"Tier 2 — À cultiver","Tier 3 — Réserve"))</f>
        <v/>
      </c>
      <c r="V15" s="29">
        <f>IF(T15&gt;=75,"J+0 à J+14 — Contact direct personnalisé",IF(T15&gt;=50,"J+30 — Approche CFP ou réseau commun","J+60 — CFP seulement / liste de réserve"))</f>
        <v/>
      </c>
    </row>
    <row r="16" ht="52" customHeight="1">
      <c r="A16" s="20" t="n">
        <v>13</v>
      </c>
      <c r="B16" s="21" t="inlineStr">
        <is>
          <t>Lydie Ngo Nogol</t>
        </is>
      </c>
      <c r="C16" s="22" t="inlineStr">
        <is>
          <t>Afrique</t>
        </is>
      </c>
      <c r="D16" s="22" t="inlineStr">
        <is>
          <t>Cameroun</t>
        </is>
      </c>
      <c r="E16" s="22" t="inlineStr">
        <is>
          <t>FR, EN</t>
        </is>
      </c>
      <c r="F16" s="22" t="n"/>
      <c r="G16" s="22" t="inlineStr">
        <is>
          <t>Keynote / Panel stratégique</t>
        </is>
      </c>
      <c r="H16" s="22" t="inlineStr">
        <is>
          <t>GRC, leadership cyber, CISO</t>
        </is>
      </c>
      <c r="I16" s="22" t="inlineStr">
        <is>
          <t>Inconnu, à négocier</t>
        </is>
      </c>
      <c r="J16" s="22" t="n"/>
      <c r="K16" s="22" t="inlineStr">
        <is>
          <t>linkedin.com/in/lydie-ngonogol — CISO PwC Afrique francophone subsaharienne</t>
        </is>
      </c>
      <c r="L16" s="22" t="inlineStr">
        <is>
          <t>À qualifier</t>
        </is>
      </c>
      <c r="M16" s="22" t="inlineStr">
        <is>
          <t>Recherche manuelle / web</t>
        </is>
      </c>
      <c r="N16" s="24" t="n">
        <v>70</v>
      </c>
      <c r="O16" s="23" t="n">
        <v>80</v>
      </c>
      <c r="P16" s="23" t="n">
        <v>90</v>
      </c>
      <c r="Q16" s="24" t="n">
        <v>65</v>
      </c>
      <c r="R16" s="24" t="n">
        <v>75</v>
      </c>
      <c r="S16" s="24" t="n">
        <v>65</v>
      </c>
      <c r="T16" s="25">
        <f>ROUND((N16*0.25+O16*0.20+P16*0.20+Q16*0.15+R16*0.10+S16*0.10),0)</f>
        <v/>
      </c>
      <c r="U16" s="26">
        <f>IF(T16&gt;=75,"Tier 1 — Prioritaire",IF(T16&gt;=50,"Tier 2 — À cultiver","Tier 3 — Réserve"))</f>
        <v/>
      </c>
      <c r="V16" s="22">
        <f>IF(T16&gt;=75,"J+0 à J+14 — Contact direct personnalisé",IF(T16&gt;=50,"J+30 — Approche CFP ou réseau commun","J+60 — CFP seulement / liste de réserve"))</f>
        <v/>
      </c>
    </row>
    <row r="17" ht="52" customHeight="1">
      <c r="A17" s="27" t="n">
        <v>14</v>
      </c>
      <c r="B17" s="28" t="inlineStr">
        <is>
          <t>Christine Izuakor, PhD, CISSP</t>
        </is>
      </c>
      <c r="C17" s="29" t="inlineStr">
        <is>
          <t>Afrique/Diaspora</t>
        </is>
      </c>
      <c r="D17" s="29" t="inlineStr">
        <is>
          <t>USA</t>
        </is>
      </c>
      <c r="E17" s="29" t="inlineStr">
        <is>
          <t>EN</t>
        </is>
      </c>
      <c r="F17" s="29" t="n"/>
      <c r="G17" s="29" t="inlineStr">
        <is>
          <t>Keynote international</t>
        </is>
      </c>
      <c r="H17" s="29" t="inlineStr">
        <is>
          <t>Critical infrastructure, leadership</t>
        </is>
      </c>
      <c r="I17" s="29" t="inlineStr">
        <is>
          <t>Payant probable</t>
        </is>
      </c>
      <c r="J17" s="29" t="n"/>
      <c r="K17" s="29" t="inlineStr">
        <is>
          <t>cybersecuritysummit.com / LinkedIn</t>
        </is>
      </c>
      <c r="L17" s="29" t="inlineStr">
        <is>
          <t>À qualifier</t>
        </is>
      </c>
      <c r="M17" s="29" t="inlineStr">
        <is>
          <t>Recherche manuelle / web</t>
        </is>
      </c>
      <c r="N17" s="23" t="n">
        <v>85</v>
      </c>
      <c r="O17" s="23" t="n">
        <v>85</v>
      </c>
      <c r="P17" s="23" t="n">
        <v>80</v>
      </c>
      <c r="Q17" s="30" t="n">
        <v>30</v>
      </c>
      <c r="R17" s="23" t="n">
        <v>80</v>
      </c>
      <c r="S17" s="23" t="n">
        <v>80</v>
      </c>
      <c r="T17" s="25">
        <f>ROUND((N17*0.25+O17*0.20+P17*0.20+Q17*0.15+R17*0.10+S17*0.10),0)</f>
        <v/>
      </c>
      <c r="U17" s="26">
        <f>IF(T17&gt;=75,"Tier 1 — Prioritaire",IF(T17&gt;=50,"Tier 2 — À cultiver","Tier 3 — Réserve"))</f>
        <v/>
      </c>
      <c r="V17" s="29">
        <f>IF(T17&gt;=75,"J+0 à J+14 — Contact direct personnalisé",IF(T17&gt;=50,"J+30 — Approche CFP ou réseau commun","J+60 — CFP seulement / liste de réserve"))</f>
        <v/>
      </c>
    </row>
    <row r="18" ht="52" customHeight="1">
      <c r="A18" s="20" t="n">
        <v>15</v>
      </c>
      <c r="B18" s="21" t="inlineStr">
        <is>
          <t>Danstan Akwiri</t>
        </is>
      </c>
      <c r="C18" s="22" t="inlineStr">
        <is>
          <t>Afrique</t>
        </is>
      </c>
      <c r="D18" s="22" t="inlineStr">
        <is>
          <t>Kenya</t>
        </is>
      </c>
      <c r="E18" s="22" t="inlineStr">
        <is>
          <t>EN, SW</t>
        </is>
      </c>
      <c r="F18" s="22" t="inlineStr">
        <is>
          <t>VP Cybersecurity — Cyberpro Global</t>
        </is>
      </c>
      <c r="G18" s="22" t="inlineStr">
        <is>
          <t>Talk technique</t>
        </is>
      </c>
      <c r="H18" s="22" t="inlineStr">
        <is>
          <t>AppSec, IA, ISO 27001</t>
        </is>
      </c>
      <c r="I18" s="22" t="inlineStr">
        <is>
          <t>Inconnu, probablement moyen</t>
        </is>
      </c>
      <c r="J18" s="22" t="n"/>
      <c r="K18" s="22" t="inlineStr">
        <is>
          <t>Non trouvé ; https://cyberweek.africa/</t>
        </is>
      </c>
      <c r="L18" s="22" t="inlineStr">
        <is>
          <t>À qualifier</t>
        </is>
      </c>
      <c r="M18" s="22" t="inlineStr">
        <is>
          <t>Vague2 - vérifié (Cyberweek Africa)</t>
        </is>
      </c>
      <c r="N18" s="24" t="n">
        <v>60</v>
      </c>
      <c r="O18" s="23" t="n">
        <v>85</v>
      </c>
      <c r="P18" s="23" t="n">
        <v>85</v>
      </c>
      <c r="Q18" s="23" t="n">
        <v>80</v>
      </c>
      <c r="R18" s="23" t="n">
        <v>80</v>
      </c>
      <c r="S18" s="24" t="n">
        <v>60</v>
      </c>
      <c r="T18" s="25">
        <f>ROUND((N18*0.25+O18*0.20+P18*0.20+Q18*0.15+R18*0.10+S18*0.10),0)</f>
        <v/>
      </c>
      <c r="U18" s="26">
        <f>IF(T18&gt;=75,"Tier 1 — Prioritaire",IF(T18&gt;=50,"Tier 2 — À cultiver","Tier 3 — Réserve"))</f>
        <v/>
      </c>
      <c r="V18" s="22">
        <f>IF(T18&gt;=75,"J+0 à J+14 — Contact direct personnalisé",IF(T18&gt;=50,"J+30 — Approche CFP ou réseau commun","J+60 — CFP seulement / liste de réserve"))</f>
        <v/>
      </c>
    </row>
    <row r="19" ht="52" customHeight="1">
      <c r="A19" s="27" t="n">
        <v>16</v>
      </c>
      <c r="B19" s="28" t="inlineStr">
        <is>
          <t>Dr Martin Koyabe</t>
        </is>
      </c>
      <c r="C19" s="29" t="inlineStr">
        <is>
          <t>Afrique</t>
        </is>
      </c>
      <c r="D19" s="29" t="inlineStr">
        <is>
          <t>Kenya / International</t>
        </is>
      </c>
      <c r="E19" s="29" t="inlineStr">
        <is>
          <t>EN, SW</t>
        </is>
      </c>
      <c r="F19" s="29" t="n"/>
      <c r="G19" s="29" t="inlineStr">
        <is>
          <t>Keynote / Panel</t>
        </is>
      </c>
      <c r="H19" s="29" t="inlineStr">
        <is>
          <t>Coopération internationale, capacity building</t>
        </is>
      </c>
      <c r="I19" s="29" t="n"/>
      <c r="J19" s="29" t="n"/>
      <c r="K19" s="29" t="n"/>
      <c r="L19" s="29" t="inlineStr">
        <is>
          <t>À qualifier</t>
        </is>
      </c>
      <c r="M19" s="29" t="inlineStr">
        <is>
          <t>Vague2 - vérifié (Cyberweek Africa)</t>
        </is>
      </c>
      <c r="N19" s="24" t="n">
        <v>70</v>
      </c>
      <c r="O19" s="24" t="n">
        <v>75</v>
      </c>
      <c r="P19" s="23" t="n">
        <v>90</v>
      </c>
      <c r="Q19" s="24" t="n">
        <v>75</v>
      </c>
      <c r="R19" s="24" t="n">
        <v>70</v>
      </c>
      <c r="S19" s="24" t="n">
        <v>60</v>
      </c>
      <c r="T19" s="25">
        <f>ROUND((N19*0.25+O19*0.20+P19*0.20+Q19*0.15+R19*0.10+S19*0.10),0)</f>
        <v/>
      </c>
      <c r="U19" s="26">
        <f>IF(T19&gt;=75,"Tier 1 — Prioritaire",IF(T19&gt;=50,"Tier 2 — À cultiver","Tier 3 — Réserve"))</f>
        <v/>
      </c>
      <c r="V19" s="29">
        <f>IF(T19&gt;=75,"J+0 à J+14 — Contact direct personnalisé",IF(T19&gt;=50,"J+30 — Approche CFP ou réseau commun","J+60 — CFP seulement / liste de réserve"))</f>
        <v/>
      </c>
    </row>
    <row r="20" ht="52" customHeight="1">
      <c r="A20" s="20" t="n">
        <v>17</v>
      </c>
      <c r="B20" s="21" t="inlineStr">
        <is>
          <t>Dr Gaston Elongha Lowolo</t>
        </is>
      </c>
      <c r="C20" s="22" t="inlineStr">
        <is>
          <t>Afrique/Diaspora</t>
        </is>
      </c>
      <c r="D20" s="22" t="inlineStr">
        <is>
          <t>USA — origine RDC</t>
        </is>
      </c>
      <c r="E20" s="22" t="inlineStr">
        <is>
          <t>FR, EN</t>
        </is>
      </c>
      <c r="F20" s="22" t="n"/>
      <c r="G20" s="22" t="inlineStr">
        <is>
          <t>Talk technique / académique</t>
        </is>
      </c>
      <c r="H20" s="22" t="inlineStr">
        <is>
          <t>IA en cybersécurité, détection phishing, santé</t>
        </is>
      </c>
      <c r="I20" s="22" t="inlineStr">
        <is>
          <t>Probablement gratuit</t>
        </is>
      </c>
      <c r="J20" s="22" t="n"/>
      <c r="K20" s="22" t="inlineStr">
        <is>
          <t>À identifier — relayé par mediacongo.net, ACP, lesnews.cd</t>
        </is>
      </c>
      <c r="L20" s="22" t="inlineStr">
        <is>
          <t>À qualifier</t>
        </is>
      </c>
      <c r="M20" s="22" t="inlineStr">
        <is>
          <t>Recherche manuelle / web</t>
        </is>
      </c>
      <c r="N20" s="31" t="n">
        <v>55</v>
      </c>
      <c r="O20" s="23" t="n">
        <v>85</v>
      </c>
      <c r="P20" s="23" t="n">
        <v>90</v>
      </c>
      <c r="Q20" s="23" t="n">
        <v>90</v>
      </c>
      <c r="R20" s="24" t="n">
        <v>70</v>
      </c>
      <c r="S20" s="31" t="n">
        <v>45</v>
      </c>
      <c r="T20" s="32">
        <f>ROUND((N20*0.25+O20*0.20+P20*0.20+Q20*0.15+R20*0.10+S20*0.10),0)</f>
        <v/>
      </c>
      <c r="U20" s="33">
        <f>IF(T20&gt;=75,"Tier 1 — Prioritaire",IF(T20&gt;=50,"Tier 2 — À cultiver","Tier 3 — Réserve"))</f>
        <v/>
      </c>
      <c r="V20" s="22">
        <f>IF(T20&gt;=75,"J+0 à J+14 — Contact direct personnalisé",IF(T20&gt;=50,"J+30 — Approche CFP ou réseau commun","J+60 — CFP seulement / liste de réserve"))</f>
        <v/>
      </c>
    </row>
    <row r="21" ht="52" customHeight="1">
      <c r="A21" s="27" t="n">
        <v>18</v>
      </c>
      <c r="B21" s="28" t="inlineStr">
        <is>
          <t>Joylynn Kirui</t>
        </is>
      </c>
      <c r="C21" s="29" t="inlineStr">
        <is>
          <t>Afrique</t>
        </is>
      </c>
      <c r="D21" s="29" t="inlineStr">
        <is>
          <t>Kenya</t>
        </is>
      </c>
      <c r="E21" s="29" t="inlineStr">
        <is>
          <t>EN, SW</t>
        </is>
      </c>
      <c r="F21" s="29" t="inlineStr">
        <is>
          <t>Head of Information Security — Prime Bank Africa</t>
        </is>
      </c>
      <c r="G21" s="29" t="inlineStr">
        <is>
          <t>Talk / Panel</t>
        </is>
      </c>
      <c r="H21" s="29" t="inlineStr">
        <is>
          <t>Sensibilisation, women in cyber</t>
        </is>
      </c>
      <c r="I21" s="29" t="inlineStr">
        <is>
          <t>Inconnu, probablement moyen</t>
        </is>
      </c>
      <c r="J21" s="29" t="n"/>
      <c r="K21" s="29" t="inlineStr">
        <is>
          <t>Non trouvé ; https://www.cyberweekafrica.com/</t>
        </is>
      </c>
      <c r="L21" s="29" t="inlineStr">
        <is>
          <t>À qualifier</t>
        </is>
      </c>
      <c r="M21" s="29" t="inlineStr">
        <is>
          <t>Vague2 - vérifié (Cyberweek Africa)</t>
        </is>
      </c>
      <c r="N21" s="31" t="n">
        <v>55</v>
      </c>
      <c r="O21" s="24" t="n">
        <v>75</v>
      </c>
      <c r="P21" s="23" t="n">
        <v>90</v>
      </c>
      <c r="Q21" s="23" t="n">
        <v>90</v>
      </c>
      <c r="R21" s="23" t="n">
        <v>80</v>
      </c>
      <c r="S21" s="24" t="n">
        <v>60</v>
      </c>
      <c r="T21" s="32">
        <f>ROUND((N21*0.25+O21*0.20+P21*0.20+Q21*0.15+R21*0.10+S21*0.10),0)</f>
        <v/>
      </c>
      <c r="U21" s="33">
        <f>IF(T21&gt;=75,"Tier 1 — Prioritaire",IF(T21&gt;=50,"Tier 2 — À cultiver","Tier 3 — Réserve"))</f>
        <v/>
      </c>
      <c r="V21" s="29">
        <f>IF(T21&gt;=75,"J+0 à J+14 — Contact direct personnalisé",IF(T21&gt;=50,"J+30 — Approche CFP ou réseau commun","J+60 — CFP seulement / liste de réserve"))</f>
        <v/>
      </c>
    </row>
    <row r="22" ht="52" customHeight="1">
      <c r="A22" s="20" t="n">
        <v>19</v>
      </c>
      <c r="B22" s="21" t="inlineStr">
        <is>
          <t>Steve Mutie</t>
        </is>
      </c>
      <c r="C22" s="22" t="inlineStr">
        <is>
          <t>Afrique</t>
        </is>
      </c>
      <c r="D22" s="22" t="inlineStr">
        <is>
          <t>Kenya</t>
        </is>
      </c>
      <c r="E22" s="22" t="inlineStr">
        <is>
          <t>EN, SW</t>
        </is>
      </c>
      <c r="F22" s="22" t="inlineStr">
        <is>
          <t>Senior Offensive Security Specialist — Inconnu</t>
        </is>
      </c>
      <c r="G22" s="22" t="inlineStr">
        <is>
          <t>Talk technique</t>
        </is>
      </c>
      <c r="H22" s="22" t="inlineStr">
        <is>
          <t>Offensive Security, malware analysis</t>
        </is>
      </c>
      <c r="I22" s="22" t="inlineStr">
        <is>
          <t>Inconnu, probablement moyen</t>
        </is>
      </c>
      <c r="J22" s="22" t="n"/>
      <c r="K22" s="22" t="inlineStr">
        <is>
          <t>Non trouvé ; https://www.cyberweekafrica.com/</t>
        </is>
      </c>
      <c r="L22" s="22" t="inlineStr">
        <is>
          <t>À qualifier</t>
        </is>
      </c>
      <c r="M22" s="22" t="inlineStr">
        <is>
          <t>Vague2 - vérifié (Cyberweek Africa)</t>
        </is>
      </c>
      <c r="N22" s="31" t="n">
        <v>55</v>
      </c>
      <c r="O22" s="23" t="n">
        <v>85</v>
      </c>
      <c r="P22" s="23" t="n">
        <v>85</v>
      </c>
      <c r="Q22" s="23" t="n">
        <v>80</v>
      </c>
      <c r="R22" s="23" t="n">
        <v>85</v>
      </c>
      <c r="S22" s="31" t="n">
        <v>55</v>
      </c>
      <c r="T22" s="32">
        <f>ROUND((N22*0.25+O22*0.20+P22*0.20+Q22*0.15+R22*0.10+S22*0.10),0)</f>
        <v/>
      </c>
      <c r="U22" s="33">
        <f>IF(T22&gt;=75,"Tier 1 — Prioritaire",IF(T22&gt;=50,"Tier 2 — À cultiver","Tier 3 — Réserve"))</f>
        <v/>
      </c>
      <c r="V22" s="22">
        <f>IF(T22&gt;=75,"J+0 à J+14 — Contact direct personnalisé",IF(T22&gt;=50,"J+30 — Approche CFP ou réseau commun","J+60 — CFP seulement / liste de réserve"))</f>
        <v/>
      </c>
    </row>
    <row r="23" ht="52" customHeight="1">
      <c r="A23" s="27" t="n">
        <v>20</v>
      </c>
      <c r="B23" s="28" t="inlineStr">
        <is>
          <t>James Yogo</t>
        </is>
      </c>
      <c r="C23" s="29" t="inlineStr">
        <is>
          <t>Afrique</t>
        </is>
      </c>
      <c r="D23" s="29" t="inlineStr">
        <is>
          <t>Kenya</t>
        </is>
      </c>
      <c r="E23" s="29" t="inlineStr">
        <is>
          <t>EN, SW</t>
        </is>
      </c>
      <c r="F23" s="29" t="inlineStr">
        <is>
          <t>Deputy Director, Cyber Security — Central Bank of Kenya</t>
        </is>
      </c>
      <c r="G23" s="29" t="inlineStr">
        <is>
          <t>Talk technique</t>
        </is>
      </c>
      <c r="H23" s="29" t="inlineStr">
        <is>
          <t>Cybersécurité bancaire</t>
        </is>
      </c>
      <c r="I23" s="29" t="inlineStr">
        <is>
          <t>Inconnu, probablement institutionnel</t>
        </is>
      </c>
      <c r="J23" s="29" t="n"/>
      <c r="K23" s="29" t="inlineStr">
        <is>
          <t>Non trouvé ; https://www.cyberweekafrica.com/</t>
        </is>
      </c>
      <c r="L23" s="29" t="inlineStr">
        <is>
          <t>À qualifier</t>
        </is>
      </c>
      <c r="M23" s="29" t="inlineStr">
        <is>
          <t>Vague2 - vérifié (Cyberweek Africa)</t>
        </is>
      </c>
      <c r="N23" s="24" t="n">
        <v>60</v>
      </c>
      <c r="O23" s="23" t="n">
        <v>80</v>
      </c>
      <c r="P23" s="23" t="n">
        <v>90</v>
      </c>
      <c r="Q23" s="23" t="n">
        <v>80</v>
      </c>
      <c r="R23" s="24" t="n">
        <v>70</v>
      </c>
      <c r="S23" s="31" t="n">
        <v>55</v>
      </c>
      <c r="T23" s="32">
        <f>ROUND((N23*0.25+O23*0.20+P23*0.20+Q23*0.15+R23*0.10+S23*0.10),0)</f>
        <v/>
      </c>
      <c r="U23" s="33">
        <f>IF(T23&gt;=75,"Tier 1 — Prioritaire",IF(T23&gt;=50,"Tier 2 — À cultiver","Tier 3 — Réserve"))</f>
        <v/>
      </c>
      <c r="V23" s="29">
        <f>IF(T23&gt;=75,"J+0 à J+14 — Contact direct personnalisé",IF(T23&gt;=50,"J+30 — Approche CFP ou réseau commun","J+60 — CFP seulement / liste de réserve"))</f>
        <v/>
      </c>
    </row>
    <row r="24" ht="52" customHeight="1">
      <c r="A24" s="20" t="n">
        <v>21</v>
      </c>
      <c r="B24" s="21" t="inlineStr">
        <is>
          <t>Bonface Asiligwa</t>
        </is>
      </c>
      <c r="C24" s="22" t="inlineStr">
        <is>
          <t>Afrique</t>
        </is>
      </c>
      <c r="D24" s="22" t="inlineStr">
        <is>
          <t>Kenya</t>
        </is>
      </c>
      <c r="E24" s="22" t="inlineStr">
        <is>
          <t>EN, SW</t>
        </is>
      </c>
      <c r="F24" s="22" t="inlineStr">
        <is>
          <t>President — ISACA Kenya</t>
        </is>
      </c>
      <c r="G24" s="22" t="inlineStr">
        <is>
          <t>Talk / Panel</t>
        </is>
      </c>
      <c r="H24" s="22" t="inlineStr">
        <is>
          <t>GRC, audit</t>
        </is>
      </c>
      <c r="I24" s="22" t="inlineStr">
        <is>
          <t>Inconnu, probablement moyen</t>
        </is>
      </c>
      <c r="J24" s="22" t="n"/>
      <c r="K24" s="22" t="inlineStr">
        <is>
          <t>Non trouvé ; https://www.cyberweekafrica.com/</t>
        </is>
      </c>
      <c r="L24" s="22" t="inlineStr">
        <is>
          <t>À qualifier</t>
        </is>
      </c>
      <c r="M24" s="22" t="inlineStr">
        <is>
          <t>Vague2 - vérifié (Cyberweek Africa)</t>
        </is>
      </c>
      <c r="N24" s="24" t="n">
        <v>60</v>
      </c>
      <c r="O24" s="24" t="n">
        <v>75</v>
      </c>
      <c r="P24" s="23" t="n">
        <v>90</v>
      </c>
      <c r="Q24" s="23" t="n">
        <v>80</v>
      </c>
      <c r="R24" s="24" t="n">
        <v>70</v>
      </c>
      <c r="S24" s="31" t="n">
        <v>55</v>
      </c>
      <c r="T24" s="32">
        <f>ROUND((N24*0.25+O24*0.20+P24*0.20+Q24*0.15+R24*0.10+S24*0.10),0)</f>
        <v/>
      </c>
      <c r="U24" s="33">
        <f>IF(T24&gt;=75,"Tier 1 — Prioritaire",IF(T24&gt;=50,"Tier 2 — À cultiver","Tier 3 — Réserve"))</f>
        <v/>
      </c>
      <c r="V24" s="22">
        <f>IF(T24&gt;=75,"J+0 à J+14 — Contact direct personnalisé",IF(T24&gt;=50,"J+30 — Approche CFP ou réseau commun","J+60 — CFP seulement / liste de réserve"))</f>
        <v/>
      </c>
    </row>
    <row r="25" ht="52" customHeight="1">
      <c r="A25" s="27" t="n">
        <v>22</v>
      </c>
      <c r="B25" s="28" t="inlineStr">
        <is>
          <t>Sami Khoury</t>
        </is>
      </c>
      <c r="C25" s="29" t="inlineStr">
        <is>
          <t>Canada</t>
        </is>
      </c>
      <c r="D25" s="29" t="inlineStr">
        <is>
          <t>Canada (Ottawa, ON)</t>
        </is>
      </c>
      <c r="E25" s="29" t="inlineStr">
        <is>
          <t>EN, FR</t>
        </is>
      </c>
      <c r="F25" s="29" t="n"/>
      <c r="G25" s="29" t="inlineStr">
        <is>
          <t>Keynote / Panel</t>
        </is>
      </c>
      <c r="H25" s="29" t="inlineStr">
        <is>
          <t>GRC, Cloud/Infra Security, Menaces émergentes, politique cyber nationale</t>
        </is>
      </c>
      <c r="I25" s="29" t="inlineStr">
        <is>
          <t>Inconnu, probablement gratuit (représentation officielle)</t>
        </is>
      </c>
      <c r="J25" s="29" t="n"/>
      <c r="K25" s="29" t="inlineStr">
        <is>
          <t>Via Gouvernement du Canada / RSA Conference profile</t>
        </is>
      </c>
      <c r="L25" s="29" t="inlineStr">
        <is>
          <t>À qualifier</t>
        </is>
      </c>
      <c r="M25" s="29" t="inlineStr">
        <is>
          <t>Recherche manuelle / web</t>
        </is>
      </c>
      <c r="N25" s="23" t="n">
        <v>85</v>
      </c>
      <c r="O25" s="23" t="n">
        <v>85</v>
      </c>
      <c r="P25" s="30" t="n">
        <v>30</v>
      </c>
      <c r="Q25" s="23" t="n">
        <v>80</v>
      </c>
      <c r="R25" s="24" t="n">
        <v>75</v>
      </c>
      <c r="S25" s="24" t="n">
        <v>70</v>
      </c>
      <c r="T25" s="32">
        <f>ROUND((N25*0.25+O25*0.20+P25*0.20+Q25*0.15+R25*0.10+S25*0.10),0)</f>
        <v/>
      </c>
      <c r="U25" s="33">
        <f>IF(T25&gt;=75,"Tier 1 — Prioritaire",IF(T25&gt;=50,"Tier 2 — À cultiver","Tier 3 — Réserve"))</f>
        <v/>
      </c>
      <c r="V25" s="29">
        <f>IF(T25&gt;=75,"J+0 à J+14 — Contact direct personnalisé",IF(T25&gt;=50,"J+30 — Approche CFP ou réseau commun","J+60 — CFP seulement / liste de réserve"))</f>
        <v/>
      </c>
    </row>
    <row r="26" ht="52" customHeight="1">
      <c r="A26" s="20" t="n">
        <v>23</v>
      </c>
      <c r="B26" s="21" t="inlineStr">
        <is>
          <t>Peter Orifah</t>
        </is>
      </c>
      <c r="C26" s="22" t="inlineStr">
        <is>
          <t>Afrique</t>
        </is>
      </c>
      <c r="D26" s="22" t="inlineStr">
        <is>
          <t>Kenya</t>
        </is>
      </c>
      <c r="E26" s="22" t="inlineStr">
        <is>
          <t>EN, SW</t>
        </is>
      </c>
      <c r="F26" s="22" t="inlineStr">
        <is>
          <t>Infrastructure &amp; Cybercrime Specialist — Inconnu</t>
        </is>
      </c>
      <c r="G26" s="22" t="inlineStr">
        <is>
          <t>Talk technique</t>
        </is>
      </c>
      <c r="H26" s="22" t="inlineStr">
        <is>
          <t>Cybercrime, infrastructure</t>
        </is>
      </c>
      <c r="I26" s="22" t="inlineStr">
        <is>
          <t>Inconnu, probablement moyen</t>
        </is>
      </c>
      <c r="J26" s="22" t="n"/>
      <c r="K26" s="22" t="inlineStr">
        <is>
          <t>Non trouvé ; https://www.cyberweekafrica.com/</t>
        </is>
      </c>
      <c r="L26" s="22" t="inlineStr">
        <is>
          <t>À qualifier</t>
        </is>
      </c>
      <c r="M26" s="22" t="inlineStr">
        <is>
          <t>Vague2 - vérifié (Cyberweek Africa)</t>
        </is>
      </c>
      <c r="N26" s="31" t="n">
        <v>55</v>
      </c>
      <c r="O26" s="24" t="n">
        <v>75</v>
      </c>
      <c r="P26" s="23" t="n">
        <v>90</v>
      </c>
      <c r="Q26" s="23" t="n">
        <v>80</v>
      </c>
      <c r="R26" s="24" t="n">
        <v>70</v>
      </c>
      <c r="S26" s="31" t="n">
        <v>50</v>
      </c>
      <c r="T26" s="32">
        <f>ROUND((N26*0.25+O26*0.20+P26*0.20+Q26*0.15+R26*0.10+S26*0.10),0)</f>
        <v/>
      </c>
      <c r="U26" s="33">
        <f>IF(T26&gt;=75,"Tier 1 — Prioritaire",IF(T26&gt;=50,"Tier 2 — À cultiver","Tier 3 — Réserve"))</f>
        <v/>
      </c>
      <c r="V26" s="22">
        <f>IF(T26&gt;=75,"J+0 à J+14 — Contact direct personnalisé",IF(T26&gt;=50,"J+30 — Approche CFP ou réseau commun","J+60 — CFP seulement / liste de réserve"))</f>
        <v/>
      </c>
    </row>
    <row r="27" ht="52" customHeight="1">
      <c r="A27" s="27" t="n">
        <v>24</v>
      </c>
      <c r="B27" s="28" t="inlineStr">
        <is>
          <t>Ekeuh Axel</t>
        </is>
      </c>
      <c r="C27" s="29" t="inlineStr">
        <is>
          <t>Afrique</t>
        </is>
      </c>
      <c r="D27" s="29" t="inlineStr">
        <is>
          <t>Cameroun</t>
        </is>
      </c>
      <c r="E27" s="29" t="inlineStr">
        <is>
          <t>FR, EN</t>
        </is>
      </c>
      <c r="F27" s="29" t="n"/>
      <c r="G27" s="29" t="inlineStr">
        <is>
          <t>Talk technique</t>
        </is>
      </c>
      <c r="H27" s="29" t="inlineStr">
        <is>
          <t>Threat Intelligence, Vulnerability Mgmt, IR</t>
        </is>
      </c>
      <c r="I27" s="29" t="inlineStr">
        <is>
          <t>Gratuit quasi-certain</t>
        </is>
      </c>
      <c r="J27" s="29" t="n"/>
      <c r="K27" s="29" t="inlineStr">
        <is>
          <t>Via réseau EOCON / LinkedIn</t>
        </is>
      </c>
      <c r="L27" s="29" t="inlineStr">
        <is>
          <t>À qualifier</t>
        </is>
      </c>
      <c r="M27" s="29" t="inlineStr">
        <is>
          <t>Recherche manuelle / web</t>
        </is>
      </c>
      <c r="N27" s="31" t="n">
        <v>45</v>
      </c>
      <c r="O27" s="23" t="n">
        <v>80</v>
      </c>
      <c r="P27" s="23" t="n">
        <v>90</v>
      </c>
      <c r="Q27" s="23" t="n">
        <v>95</v>
      </c>
      <c r="R27" s="24" t="n">
        <v>75</v>
      </c>
      <c r="S27" s="30" t="n">
        <v>35</v>
      </c>
      <c r="T27" s="32">
        <f>ROUND((N27*0.25+O27*0.20+P27*0.20+Q27*0.15+R27*0.10+S27*0.10),0)</f>
        <v/>
      </c>
      <c r="U27" s="33">
        <f>IF(T27&gt;=75,"Tier 1 — Prioritaire",IF(T27&gt;=50,"Tier 2 — À cultiver","Tier 3 — Réserve"))</f>
        <v/>
      </c>
      <c r="V27" s="29">
        <f>IF(T27&gt;=75,"J+0 à J+14 — Contact direct personnalisé",IF(T27&gt;=50,"J+30 — Approche CFP ou réseau commun","J+60 — CFP seulement / liste de réserve"))</f>
        <v/>
      </c>
    </row>
    <row r="28" ht="52" customHeight="1">
      <c r="A28" s="20" t="n">
        <v>25</v>
      </c>
      <c r="B28" s="21" t="inlineStr">
        <is>
          <t>Dr Sanjay Bahl</t>
        </is>
      </c>
      <c r="C28" s="22" t="inlineStr">
        <is>
          <t>Asie</t>
        </is>
      </c>
      <c r="D28" s="22" t="inlineStr">
        <is>
          <t>Inde</t>
        </is>
      </c>
      <c r="E28" s="22" t="inlineStr">
        <is>
          <t>EN, HI</t>
        </is>
      </c>
      <c r="F28" s="22" t="n"/>
      <c r="G28" s="22" t="inlineStr">
        <is>
          <t>Keynote institutionnel</t>
        </is>
      </c>
      <c r="H28" s="22" t="inlineStr">
        <is>
          <t>GRC, CERT national, politique cyber</t>
        </is>
      </c>
      <c r="I28" s="22" t="n"/>
      <c r="J28" s="22" t="n"/>
      <c r="K28" s="22" t="n"/>
      <c r="L28" s="22" t="inlineStr">
        <is>
          <t>À qualifier</t>
        </is>
      </c>
      <c r="M28" s="22" t="inlineStr">
        <is>
          <t>Vague1 - vérifié</t>
        </is>
      </c>
      <c r="N28" s="23" t="n">
        <v>80</v>
      </c>
      <c r="O28" s="23" t="n">
        <v>85</v>
      </c>
      <c r="P28" s="30" t="n">
        <v>35</v>
      </c>
      <c r="Q28" s="23" t="n">
        <v>80</v>
      </c>
      <c r="R28" s="24" t="n">
        <v>75</v>
      </c>
      <c r="S28" s="24" t="n">
        <v>65</v>
      </c>
      <c r="T28" s="32">
        <f>ROUND((N28*0.25+O28*0.20+P28*0.20+Q28*0.15+R28*0.10+S28*0.10),0)</f>
        <v/>
      </c>
      <c r="U28" s="33">
        <f>IF(T28&gt;=75,"Tier 1 — Prioritaire",IF(T28&gt;=50,"Tier 2 — À cultiver","Tier 3 — Réserve"))</f>
        <v/>
      </c>
      <c r="V28" s="22">
        <f>IF(T28&gt;=75,"J+0 à J+14 — Contact direct personnalisé",IF(T28&gt;=50,"J+30 — Approche CFP ou réseau commun","J+60 — CFP seulement / liste de réserve"))</f>
        <v/>
      </c>
    </row>
    <row r="29" ht="52" customHeight="1">
      <c r="A29" s="27" t="n">
        <v>26</v>
      </c>
      <c r="B29" s="28" t="inlineStr">
        <is>
          <t>Dr Katherine Getao</t>
        </is>
      </c>
      <c r="C29" s="29" t="inlineStr">
        <is>
          <t>Afrique</t>
        </is>
      </c>
      <c r="D29" s="29" t="inlineStr">
        <is>
          <t>Kenya</t>
        </is>
      </c>
      <c r="E29" s="29" t="inlineStr">
        <is>
          <t>EN, SW</t>
        </is>
      </c>
      <c r="F29" s="29" t="n"/>
      <c r="G29" s="29" t="inlineStr">
        <is>
          <t>Keynote institutionnel</t>
        </is>
      </c>
      <c r="H29" s="29" t="inlineStr">
        <is>
          <t>GRC, souveraineté numérique, e-gov</t>
        </is>
      </c>
      <c r="I29" s="29" t="n"/>
      <c r="J29" s="29" t="n"/>
      <c r="K29" s="29" t="n"/>
      <c r="L29" s="29" t="inlineStr">
        <is>
          <t>À qualifier</t>
        </is>
      </c>
      <c r="M29" s="29" t="inlineStr">
        <is>
          <t>Vague2 - vérifié (Cyberweek Africa)</t>
        </is>
      </c>
      <c r="N29" s="24" t="n">
        <v>65</v>
      </c>
      <c r="O29" s="24" t="n">
        <v>65</v>
      </c>
      <c r="P29" s="23" t="n">
        <v>90</v>
      </c>
      <c r="Q29" s="24" t="n">
        <v>75</v>
      </c>
      <c r="R29" s="24" t="n">
        <v>65</v>
      </c>
      <c r="S29" s="31" t="n">
        <v>55</v>
      </c>
      <c r="T29" s="32">
        <f>ROUND((N29*0.25+O29*0.20+P29*0.20+Q29*0.15+R29*0.10+S29*0.10),0)</f>
        <v/>
      </c>
      <c r="U29" s="33">
        <f>IF(T29&gt;=75,"Tier 1 — Prioritaire",IF(T29&gt;=50,"Tier 2 — À cultiver","Tier 3 — Réserve"))</f>
        <v/>
      </c>
      <c r="V29" s="29">
        <f>IF(T29&gt;=75,"J+0 à J+14 — Contact direct personnalisé",IF(T29&gt;=50,"J+30 — Approche CFP ou réseau commun","J+60 — CFP seulement / liste de réserve"))</f>
        <v/>
      </c>
    </row>
    <row r="30" ht="52" customHeight="1">
      <c r="A30" s="20" t="n">
        <v>27</v>
      </c>
      <c r="B30" s="21" t="inlineStr">
        <is>
          <t>Dr Prisca Oluoch</t>
        </is>
      </c>
      <c r="C30" s="22" t="inlineStr">
        <is>
          <t>Afrique</t>
        </is>
      </c>
      <c r="D30" s="22" t="inlineStr">
        <is>
          <t>Kenya</t>
        </is>
      </c>
      <c r="E30" s="22" t="inlineStr">
        <is>
          <t>EN, SW</t>
        </is>
      </c>
      <c r="F30" s="22" t="n"/>
      <c r="G30" s="22" t="inlineStr">
        <is>
          <t>Keynote institutionnel</t>
        </is>
      </c>
      <c r="H30" s="22" t="inlineStr">
        <is>
          <t>GRC, formation, gouvernance KSG</t>
        </is>
      </c>
      <c r="I30" s="22" t="n"/>
      <c r="J30" s="22" t="n"/>
      <c r="K30" s="22" t="n"/>
      <c r="L30" s="22" t="inlineStr">
        <is>
          <t>À qualifier</t>
        </is>
      </c>
      <c r="M30" s="22" t="inlineStr">
        <is>
          <t>Vague2 - vérifié (Cyberweek Africa)</t>
        </is>
      </c>
      <c r="N30" s="24" t="n">
        <v>60</v>
      </c>
      <c r="O30" s="24" t="n">
        <v>70</v>
      </c>
      <c r="P30" s="23" t="n">
        <v>90</v>
      </c>
      <c r="Q30" s="23" t="n">
        <v>80</v>
      </c>
      <c r="R30" s="24" t="n">
        <v>65</v>
      </c>
      <c r="S30" s="31" t="n">
        <v>50</v>
      </c>
      <c r="T30" s="32">
        <f>ROUND((N30*0.25+O30*0.20+P30*0.20+Q30*0.15+R30*0.10+S30*0.10),0)</f>
        <v/>
      </c>
      <c r="U30" s="33">
        <f>IF(T30&gt;=75,"Tier 1 — Prioritaire",IF(T30&gt;=50,"Tier 2 — À cultiver","Tier 3 — Réserve"))</f>
        <v/>
      </c>
      <c r="V30" s="22">
        <f>IF(T30&gt;=75,"J+0 à J+14 — Contact direct personnalisé",IF(T30&gt;=50,"J+30 — Approche CFP ou réseau commun","J+60 — CFP seulement / liste de réserve"))</f>
        <v/>
      </c>
    </row>
    <row r="31" ht="52" customHeight="1">
      <c r="A31" s="27" t="n">
        <v>28</v>
      </c>
      <c r="B31" s="28" t="inlineStr">
        <is>
          <t>Dr Josphine Mwanzia</t>
        </is>
      </c>
      <c r="C31" s="29" t="inlineStr">
        <is>
          <t>Afrique</t>
        </is>
      </c>
      <c r="D31" s="29" t="inlineStr">
        <is>
          <t>Kenya</t>
        </is>
      </c>
      <c r="E31" s="29" t="inlineStr">
        <is>
          <t>EN, SW</t>
        </is>
      </c>
      <c r="F31" s="29" t="n"/>
      <c r="G31" s="29" t="inlineStr">
        <is>
          <t>Keynote institutionnel</t>
        </is>
      </c>
      <c r="H31" s="29" t="inlineStr">
        <is>
          <t>GRC, formation, KSG</t>
        </is>
      </c>
      <c r="I31" s="29" t="n"/>
      <c r="J31" s="29" t="n"/>
      <c r="K31" s="29" t="n"/>
      <c r="L31" s="29" t="inlineStr">
        <is>
          <t>À qualifier</t>
        </is>
      </c>
      <c r="M31" s="29" t="inlineStr">
        <is>
          <t>Vague2 - vérifié (Cyberweek Africa)</t>
        </is>
      </c>
      <c r="N31" s="24" t="n">
        <v>60</v>
      </c>
      <c r="O31" s="24" t="n">
        <v>70</v>
      </c>
      <c r="P31" s="23" t="n">
        <v>90</v>
      </c>
      <c r="Q31" s="23" t="n">
        <v>80</v>
      </c>
      <c r="R31" s="24" t="n">
        <v>65</v>
      </c>
      <c r="S31" s="31" t="n">
        <v>50</v>
      </c>
      <c r="T31" s="32">
        <f>ROUND((N31*0.25+O31*0.20+P31*0.20+Q31*0.15+R31*0.10+S31*0.10),0)</f>
        <v/>
      </c>
      <c r="U31" s="33">
        <f>IF(T31&gt;=75,"Tier 1 — Prioritaire",IF(T31&gt;=50,"Tier 2 — À cultiver","Tier 3 — Réserve"))</f>
        <v/>
      </c>
      <c r="V31" s="29">
        <f>IF(T31&gt;=75,"J+0 à J+14 — Contact direct personnalisé",IF(T31&gt;=50,"J+30 — Approche CFP ou réseau commun","J+60 — CFP seulement / liste de réserve"))</f>
        <v/>
      </c>
    </row>
    <row r="32" ht="52" customHeight="1">
      <c r="A32" s="20" t="n">
        <v>29</v>
      </c>
      <c r="B32" s="21" t="inlineStr">
        <is>
          <t>Prof. Nura Mohamed</t>
        </is>
      </c>
      <c r="C32" s="22" t="inlineStr">
        <is>
          <t>Afrique</t>
        </is>
      </c>
      <c r="D32" s="22" t="inlineStr">
        <is>
          <t>Kenya</t>
        </is>
      </c>
      <c r="E32" s="22" t="inlineStr">
        <is>
          <t>EN, SW</t>
        </is>
      </c>
      <c r="F32" s="22" t="inlineStr">
        <is>
          <t>Director General — Kenya School of Government</t>
        </is>
      </c>
      <c r="G32" s="22" t="inlineStr">
        <is>
          <t>Keynote institutionnel</t>
        </is>
      </c>
      <c r="H32" s="22" t="inlineStr">
        <is>
          <t>Gouvernance, formation</t>
        </is>
      </c>
      <c r="I32" s="22" t="inlineStr">
        <is>
          <t>Inconnu, institutionnel</t>
        </is>
      </c>
      <c r="J32" s="22" t="inlineStr">
        <is>
          <t>directorgeneral@ksg.ac.ke</t>
        </is>
      </c>
      <c r="K32" s="22" t="inlineStr">
        <is>
          <t>Non trouvé ; https://www.cyberweekafrica.com/</t>
        </is>
      </c>
      <c r="L32" s="22" t="inlineStr">
        <is>
          <t>À qualifier</t>
        </is>
      </c>
      <c r="M32" s="22" t="inlineStr">
        <is>
          <t>Vague2 - vérifié (Cyberweek Africa)</t>
        </is>
      </c>
      <c r="N32" s="24" t="n">
        <v>60</v>
      </c>
      <c r="O32" s="24" t="n">
        <v>65</v>
      </c>
      <c r="P32" s="23" t="n">
        <v>90</v>
      </c>
      <c r="Q32" s="23" t="n">
        <v>80</v>
      </c>
      <c r="R32" s="24" t="n">
        <v>65</v>
      </c>
      <c r="S32" s="31" t="n">
        <v>50</v>
      </c>
      <c r="T32" s="32">
        <f>ROUND((N32*0.25+O32*0.20+P32*0.20+Q32*0.15+R32*0.10+S32*0.10),0)</f>
        <v/>
      </c>
      <c r="U32" s="33">
        <f>IF(T32&gt;=75,"Tier 1 — Prioritaire",IF(T32&gt;=50,"Tier 2 — À cultiver","Tier 3 — Réserve"))</f>
        <v/>
      </c>
      <c r="V32" s="22">
        <f>IF(T32&gt;=75,"J+0 à J+14 — Contact direct personnalisé",IF(T32&gt;=50,"J+30 — Approche CFP ou réseau commun","J+60 — CFP seulement / liste de réserve"))</f>
        <v/>
      </c>
    </row>
    <row r="33" ht="52" customHeight="1">
      <c r="A33" s="27" t="n">
        <v>30</v>
      </c>
      <c r="B33" s="28" t="inlineStr">
        <is>
          <t>Mutheu Nyagah Khimulu</t>
        </is>
      </c>
      <c r="C33" s="29" t="inlineStr">
        <is>
          <t>Afrique</t>
        </is>
      </c>
      <c r="D33" s="29" t="inlineStr">
        <is>
          <t>Kenya</t>
        </is>
      </c>
      <c r="E33" s="29" t="inlineStr">
        <is>
          <t>EN, SW</t>
        </is>
      </c>
      <c r="F33" s="29" t="inlineStr">
        <is>
          <t>Cybersecurity Lawyer — Inconnu</t>
        </is>
      </c>
      <c r="G33" s="29" t="inlineStr">
        <is>
          <t>Talk / Panel</t>
        </is>
      </c>
      <c r="H33" s="29" t="inlineStr">
        <is>
          <t>Droit cyber, GRC</t>
        </is>
      </c>
      <c r="I33" s="29" t="inlineStr">
        <is>
          <t>Inconnu, probablement moyen</t>
        </is>
      </c>
      <c r="J33" s="29" t="n"/>
      <c r="K33" s="29" t="inlineStr">
        <is>
          <t>Non trouvé ; https://www.cyberweekafrica.com/</t>
        </is>
      </c>
      <c r="L33" s="29" t="inlineStr">
        <is>
          <t>À qualifier</t>
        </is>
      </c>
      <c r="M33" s="29" t="inlineStr">
        <is>
          <t>Vague2 - vérifié (Cyberweek Africa)</t>
        </is>
      </c>
      <c r="N33" s="31" t="n">
        <v>55</v>
      </c>
      <c r="O33" s="24" t="n">
        <v>70</v>
      </c>
      <c r="P33" s="23" t="n">
        <v>90</v>
      </c>
      <c r="Q33" s="23" t="n">
        <v>80</v>
      </c>
      <c r="R33" s="24" t="n">
        <v>70</v>
      </c>
      <c r="S33" s="31" t="n">
        <v>50</v>
      </c>
      <c r="T33" s="32">
        <f>ROUND((N33*0.25+O33*0.20+P33*0.20+Q33*0.15+R33*0.10+S33*0.10),0)</f>
        <v/>
      </c>
      <c r="U33" s="33">
        <f>IF(T33&gt;=75,"Tier 1 — Prioritaire",IF(T33&gt;=50,"Tier 2 — À cultiver","Tier 3 — Réserve"))</f>
        <v/>
      </c>
      <c r="V33" s="29">
        <f>IF(T33&gt;=75,"J+0 à J+14 — Contact direct personnalisé",IF(T33&gt;=50,"J+30 — Approche CFP ou réseau commun","J+60 — CFP seulement / liste de réserve"))</f>
        <v/>
      </c>
    </row>
    <row r="34" ht="52" customHeight="1">
      <c r="A34" s="20" t="n">
        <v>31</v>
      </c>
      <c r="B34" s="21" t="inlineStr">
        <is>
          <t>Shiphrah Wairima</t>
        </is>
      </c>
      <c r="C34" s="22" t="inlineStr">
        <is>
          <t>Afrique</t>
        </is>
      </c>
      <c r="D34" s="22" t="inlineStr">
        <is>
          <t>Kenya</t>
        </is>
      </c>
      <c r="E34" s="22" t="inlineStr">
        <is>
          <t>EN, SW</t>
        </is>
      </c>
      <c r="F34" s="22" t="inlineStr">
        <is>
          <t>VP — Global Council for Responsible AI – KE</t>
        </is>
      </c>
      <c r="G34" s="22" t="inlineStr">
        <is>
          <t>Talk / Panel</t>
        </is>
      </c>
      <c r="H34" s="22" t="inlineStr">
        <is>
          <t>IA responsable, gouvernance</t>
        </is>
      </c>
      <c r="I34" s="22" t="inlineStr">
        <is>
          <t>Inconnu, probablement moyen</t>
        </is>
      </c>
      <c r="J34" s="22" t="n"/>
      <c r="K34" s="22" t="inlineStr">
        <is>
          <t>Non trouvé ; https://www.cyberweekafrica.com/</t>
        </is>
      </c>
      <c r="L34" s="22" t="inlineStr">
        <is>
          <t>À qualifier</t>
        </is>
      </c>
      <c r="M34" s="22" t="inlineStr">
        <is>
          <t>Vague2 - vérifié (Cyberweek Africa)</t>
        </is>
      </c>
      <c r="N34" s="31" t="n">
        <v>55</v>
      </c>
      <c r="O34" s="24" t="n">
        <v>70</v>
      </c>
      <c r="P34" s="23" t="n">
        <v>90</v>
      </c>
      <c r="Q34" s="23" t="n">
        <v>80</v>
      </c>
      <c r="R34" s="24" t="n">
        <v>70</v>
      </c>
      <c r="S34" s="31" t="n">
        <v>55</v>
      </c>
      <c r="T34" s="32">
        <f>ROUND((N34*0.25+O34*0.20+P34*0.20+Q34*0.15+R34*0.10+S34*0.10),0)</f>
        <v/>
      </c>
      <c r="U34" s="33">
        <f>IF(T34&gt;=75,"Tier 1 — Prioritaire",IF(T34&gt;=50,"Tier 2 — À cultiver","Tier 3 — Réserve"))</f>
        <v/>
      </c>
      <c r="V34" s="22">
        <f>IF(T34&gt;=75,"J+0 à J+14 — Contact direct personnalisé",IF(T34&gt;=50,"J+30 — Approche CFP ou réseau commun","J+60 — CFP seulement / liste de réserve"))</f>
        <v/>
      </c>
    </row>
    <row r="35" ht="52" customHeight="1">
      <c r="A35" s="27" t="n">
        <v>32</v>
      </c>
      <c r="B35" s="28" t="inlineStr">
        <is>
          <t>Prof. Andrew Kahonge</t>
        </is>
      </c>
      <c r="C35" s="29" t="inlineStr">
        <is>
          <t>Afrique</t>
        </is>
      </c>
      <c r="D35" s="29" t="inlineStr">
        <is>
          <t>Kenya</t>
        </is>
      </c>
      <c r="E35" s="29" t="inlineStr">
        <is>
          <t>EN, SW</t>
        </is>
      </c>
      <c r="F35" s="29" t="inlineStr">
        <is>
          <t>Associate Professor, Computer Science — University of Nairobi</t>
        </is>
      </c>
      <c r="G35" s="29" t="inlineStr">
        <is>
          <t>Talk académique</t>
        </is>
      </c>
      <c r="H35" s="29" t="inlineStr">
        <is>
          <t>Recherche, formation universitaire</t>
        </is>
      </c>
      <c r="I35" s="29" t="inlineStr">
        <is>
          <t>Inconnu, académique/moyen</t>
        </is>
      </c>
      <c r="J35" s="29" t="n"/>
      <c r="K35" s="29" t="inlineStr">
        <is>
          <t>Non trouvé ; https://www.uonbi.ac.ke/</t>
        </is>
      </c>
      <c r="L35" s="29" t="inlineStr">
        <is>
          <t>À qualifier</t>
        </is>
      </c>
      <c r="M35" s="29" t="inlineStr">
        <is>
          <t>Vague2 - vérifié (Cyberweek Africa)</t>
        </is>
      </c>
      <c r="N35" s="31" t="n">
        <v>55</v>
      </c>
      <c r="O35" s="24" t="n">
        <v>75</v>
      </c>
      <c r="P35" s="23" t="n">
        <v>90</v>
      </c>
      <c r="Q35" s="24" t="n">
        <v>75</v>
      </c>
      <c r="R35" s="24" t="n">
        <v>70</v>
      </c>
      <c r="S35" s="31" t="n">
        <v>50</v>
      </c>
      <c r="T35" s="32">
        <f>ROUND((N35*0.25+O35*0.20+P35*0.20+Q35*0.15+R35*0.10+S35*0.10),0)</f>
        <v/>
      </c>
      <c r="U35" s="33">
        <f>IF(T35&gt;=75,"Tier 1 — Prioritaire",IF(T35&gt;=50,"Tier 2 — À cultiver","Tier 3 — Réserve"))</f>
        <v/>
      </c>
      <c r="V35" s="29">
        <f>IF(T35&gt;=75,"J+0 à J+14 — Contact direct personnalisé",IF(T35&gt;=50,"J+30 — Approche CFP ou réseau commun","J+60 — CFP seulement / liste de réserve"))</f>
        <v/>
      </c>
    </row>
    <row r="36" ht="52" customHeight="1">
      <c r="A36" s="20" t="n">
        <v>33</v>
      </c>
      <c r="B36" s="21" t="inlineStr">
        <is>
          <t>John Kipchumba Tanui, CBS</t>
        </is>
      </c>
      <c r="C36" s="22" t="inlineStr">
        <is>
          <t>Afrique</t>
        </is>
      </c>
      <c r="D36" s="22" t="inlineStr">
        <is>
          <t>Kenya</t>
        </is>
      </c>
      <c r="E36" s="22" t="inlineStr">
        <is>
          <t>EN, SW</t>
        </is>
      </c>
      <c r="F36" s="22" t="n"/>
      <c r="G36" s="22" t="inlineStr">
        <is>
          <t>Keynote institutionnel</t>
        </is>
      </c>
      <c r="H36" s="22" t="inlineStr">
        <is>
          <t>Politique ICT nationale</t>
        </is>
      </c>
      <c r="I36" s="22" t="n"/>
      <c r="J36" s="22" t="n"/>
      <c r="K36" s="22" t="n"/>
      <c r="L36" s="22" t="inlineStr">
        <is>
          <t>À qualifier</t>
        </is>
      </c>
      <c r="M36" s="22" t="inlineStr">
        <is>
          <t>Vague2 - vérifié (Cyberweek Africa)</t>
        </is>
      </c>
      <c r="N36" s="24" t="n">
        <v>65</v>
      </c>
      <c r="O36" s="24" t="n">
        <v>65</v>
      </c>
      <c r="P36" s="23" t="n">
        <v>90</v>
      </c>
      <c r="Q36" s="24" t="n">
        <v>75</v>
      </c>
      <c r="R36" s="24" t="n">
        <v>60</v>
      </c>
      <c r="S36" s="31" t="n">
        <v>55</v>
      </c>
      <c r="T36" s="32">
        <f>ROUND((N36*0.25+O36*0.20+P36*0.20+Q36*0.15+R36*0.10+S36*0.10),0)</f>
        <v/>
      </c>
      <c r="U36" s="33">
        <f>IF(T36&gt;=75,"Tier 1 — Prioritaire",IF(T36&gt;=50,"Tier 2 — À cultiver","Tier 3 — Réserve"))</f>
        <v/>
      </c>
      <c r="V36" s="22">
        <f>IF(T36&gt;=75,"J+0 à J+14 — Contact direct personnalisé",IF(T36&gt;=50,"J+30 — Approche CFP ou réseau commun","J+60 — CFP seulement / liste de réserve"))</f>
        <v/>
      </c>
    </row>
    <row r="37" ht="52" customHeight="1">
      <c r="A37" s="27" t="n">
        <v>34</v>
      </c>
      <c r="B37" s="28" t="inlineStr">
        <is>
          <t>Keith Makan</t>
        </is>
      </c>
      <c r="C37" s="29" t="inlineStr">
        <is>
          <t>Afrique</t>
        </is>
      </c>
      <c r="D37" s="29" t="inlineStr">
        <is>
          <t>Afrique du Sud</t>
        </is>
      </c>
      <c r="E37" s="29" t="inlineStr">
        <is>
          <t>EN</t>
        </is>
      </c>
      <c r="F37" s="29" t="n"/>
      <c r="G37" s="29" t="inlineStr">
        <is>
          <t>Talk technique</t>
        </is>
      </c>
      <c r="H37" s="29" t="inlineStr">
        <is>
          <t>AppSec/API (GraphQL pentest)</t>
        </is>
      </c>
      <c r="I37" s="29" t="inlineStr">
        <is>
          <t>Gratuit</t>
        </is>
      </c>
      <c r="J37" s="29" t="n"/>
      <c r="K37" s="29" t="inlineStr">
        <is>
          <t>Via pretalx BSides Cape Town</t>
        </is>
      </c>
      <c r="L37" s="29" t="inlineStr">
        <is>
          <t>À qualifier</t>
        </is>
      </c>
      <c r="M37" s="29" t="inlineStr">
        <is>
          <t>Recherche manuelle / web</t>
        </is>
      </c>
      <c r="N37" s="31" t="n">
        <v>55</v>
      </c>
      <c r="O37" s="23" t="n">
        <v>85</v>
      </c>
      <c r="P37" s="24" t="n">
        <v>65</v>
      </c>
      <c r="Q37" s="23" t="n">
        <v>85</v>
      </c>
      <c r="R37" s="23" t="n">
        <v>80</v>
      </c>
      <c r="S37" s="31" t="n">
        <v>45</v>
      </c>
      <c r="T37" s="32">
        <f>ROUND((N37*0.25+O37*0.20+P37*0.20+Q37*0.15+R37*0.10+S37*0.10),0)</f>
        <v/>
      </c>
      <c r="U37" s="33">
        <f>IF(T37&gt;=75,"Tier 1 — Prioritaire",IF(T37&gt;=50,"Tier 2 — À cultiver","Tier 3 — Réserve"))</f>
        <v/>
      </c>
      <c r="V37" s="29">
        <f>IF(T37&gt;=75,"J+0 à J+14 — Contact direct personnalisé",IF(T37&gt;=50,"J+30 — Approche CFP ou réseau commun","J+60 — CFP seulement / liste de réserve"))</f>
        <v/>
      </c>
    </row>
    <row r="38" ht="52" customHeight="1">
      <c r="A38" s="20" t="n">
        <v>35</v>
      </c>
      <c r="B38" s="21" t="inlineStr">
        <is>
          <t>Gabrielle Botbol</t>
        </is>
      </c>
      <c r="C38" s="22" t="inlineStr">
        <is>
          <t>Canada</t>
        </is>
      </c>
      <c r="D38" s="22" t="inlineStr">
        <is>
          <t>Canada (Montréal/Laval)</t>
        </is>
      </c>
      <c r="E38" s="22" t="inlineStr">
        <is>
          <t>FR, EN</t>
        </is>
      </c>
      <c r="F38" s="22" t="n"/>
      <c r="G38" s="22" t="inlineStr">
        <is>
          <t>Workshop / Talk</t>
        </is>
      </c>
      <c r="H38" s="22" t="inlineStr">
        <is>
          <t>Red Teaming / Offensive Security, AppSec (mobile/API), IA en cybersécurité, sensibilisation</t>
        </is>
      </c>
      <c r="I38" s="22" t="inlineStr">
        <is>
          <t>Inconnu, probablement prise en charge ou cachet modéré</t>
        </is>
      </c>
      <c r="J38" s="22" t="n"/>
      <c r="K38" s="22" t="inlineStr">
        <is>
          <t>linkedin.com/in/gabriellebotbol, gabrielleb.fr/blog</t>
        </is>
      </c>
      <c r="L38" s="22" t="inlineStr">
        <is>
          <t>À qualifier</t>
        </is>
      </c>
      <c r="M38" s="22" t="inlineStr">
        <is>
          <t>Recherche manuelle / web</t>
        </is>
      </c>
      <c r="N38" s="23" t="n">
        <v>80</v>
      </c>
      <c r="O38" s="23" t="n">
        <v>90</v>
      </c>
      <c r="P38" s="30" t="n">
        <v>20</v>
      </c>
      <c r="Q38" s="24" t="n">
        <v>65</v>
      </c>
      <c r="R38" s="23" t="n">
        <v>95</v>
      </c>
      <c r="S38" s="24" t="n">
        <v>75</v>
      </c>
      <c r="T38" s="32">
        <f>ROUND((N38*0.25+O38*0.20+P38*0.20+Q38*0.15+R38*0.10+S38*0.10),0)</f>
        <v/>
      </c>
      <c r="U38" s="33">
        <f>IF(T38&gt;=75,"Tier 1 — Prioritaire",IF(T38&gt;=50,"Tier 2 — À cultiver","Tier 3 — Réserve"))</f>
        <v/>
      </c>
      <c r="V38" s="22">
        <f>IF(T38&gt;=75,"J+0 à J+14 — Contact direct personnalisé",IF(T38&gt;=50,"J+30 — Approche CFP ou réseau commun","J+60 — CFP seulement / liste de réserve"))</f>
        <v/>
      </c>
    </row>
    <row r="39" ht="52" customHeight="1">
      <c r="A39" s="27" t="n">
        <v>36</v>
      </c>
      <c r="B39" s="28" t="inlineStr">
        <is>
          <t>Eng. Badar Al Salehi</t>
        </is>
      </c>
      <c r="C39" s="29" t="inlineStr">
        <is>
          <t>Moyen-Orient</t>
        </is>
      </c>
      <c r="D39" s="29" t="inlineStr">
        <is>
          <t>Oman</t>
        </is>
      </c>
      <c r="E39" s="29" t="inlineStr">
        <is>
          <t>AR, EN</t>
        </is>
      </c>
      <c r="F39" s="29" t="inlineStr">
        <is>
          <t>Director General; Chair OIC-CERT — Oman National CERT / OIC-CERT</t>
        </is>
      </c>
      <c r="G39" s="29" t="inlineStr">
        <is>
          <t>Keynote institutionnel</t>
        </is>
      </c>
      <c r="H39" s="29" t="inlineStr">
        <is>
          <t>CERT national, coopération régionale</t>
        </is>
      </c>
      <c r="I39" s="29" t="inlineStr">
        <is>
          <t>Inconnu, probablement institutionnel</t>
        </is>
      </c>
      <c r="J39" s="29" t="inlineStr">
        <is>
          <t>Via Oman National CERT / OIC-CERT</t>
        </is>
      </c>
      <c r="K39" s="29" t="inlineStr">
        <is>
          <t>Non trouvé ; https://www.oic-cert.org/</t>
        </is>
      </c>
      <c r="L39" s="29" t="inlineStr">
        <is>
          <t>À qualifier</t>
        </is>
      </c>
      <c r="M39" s="29" t="inlineStr">
        <is>
          <t>Vague1 - vérifié</t>
        </is>
      </c>
      <c r="N39" s="23" t="n">
        <v>80</v>
      </c>
      <c r="O39" s="23" t="n">
        <v>80</v>
      </c>
      <c r="P39" s="31" t="n">
        <v>40</v>
      </c>
      <c r="Q39" s="23" t="n">
        <v>80</v>
      </c>
      <c r="R39" s="24" t="n">
        <v>70</v>
      </c>
      <c r="S39" s="24" t="n">
        <v>60</v>
      </c>
      <c r="T39" s="32">
        <f>ROUND((N39*0.25+O39*0.20+P39*0.20+Q39*0.15+R39*0.10+S39*0.10),0)</f>
        <v/>
      </c>
      <c r="U39" s="33">
        <f>IF(T39&gt;=75,"Tier 1 — Prioritaire",IF(T39&gt;=50,"Tier 2 — À cultiver","Tier 3 — Réserve"))</f>
        <v/>
      </c>
      <c r="V39" s="29">
        <f>IF(T39&gt;=75,"J+0 à J+14 — Contact direct personnalisé",IF(T39&gt;=50,"J+30 — Approche CFP ou réseau commun","J+60 — CFP seulement / liste de réserve"))</f>
        <v/>
      </c>
    </row>
    <row r="40" ht="52" customHeight="1">
      <c r="A40" s="20" t="n">
        <v>37</v>
      </c>
      <c r="B40" s="21" t="inlineStr">
        <is>
          <t>Dr David Njoga</t>
        </is>
      </c>
      <c r="C40" s="22" t="inlineStr">
        <is>
          <t>Afrique</t>
        </is>
      </c>
      <c r="D40" s="22" t="inlineStr">
        <is>
          <t>Kenya</t>
        </is>
      </c>
      <c r="E40" s="22" t="inlineStr">
        <is>
          <t>EN, SW</t>
        </is>
      </c>
      <c r="F40" s="22" t="n"/>
      <c r="G40" s="22" t="inlineStr">
        <is>
          <t>Talk académique</t>
        </is>
      </c>
      <c r="H40" s="22" t="inlineStr">
        <is>
          <t>Cyber Governance, recherche</t>
        </is>
      </c>
      <c r="I40" s="22" t="n"/>
      <c r="J40" s="22" t="n"/>
      <c r="K40" s="22" t="n"/>
      <c r="L40" s="22" t="inlineStr">
        <is>
          <t>À qualifier</t>
        </is>
      </c>
      <c r="M40" s="22" t="inlineStr">
        <is>
          <t>Vague2 - vérifié (Cyberweek Africa)</t>
        </is>
      </c>
      <c r="N40" s="31" t="n">
        <v>55</v>
      </c>
      <c r="O40" s="24" t="n">
        <v>75</v>
      </c>
      <c r="P40" s="23" t="n">
        <v>85</v>
      </c>
      <c r="Q40" s="23" t="n">
        <v>80</v>
      </c>
      <c r="R40" s="24" t="n">
        <v>65</v>
      </c>
      <c r="S40" s="31" t="n">
        <v>50</v>
      </c>
      <c r="T40" s="32">
        <f>ROUND((N40*0.25+O40*0.20+P40*0.20+Q40*0.15+R40*0.10+S40*0.10),0)</f>
        <v/>
      </c>
      <c r="U40" s="33">
        <f>IF(T40&gt;=75,"Tier 1 — Prioritaire",IF(T40&gt;=50,"Tier 2 — À cultiver","Tier 3 — Réserve"))</f>
        <v/>
      </c>
      <c r="V40" s="22">
        <f>IF(T40&gt;=75,"J+0 à J+14 — Contact direct personnalisé",IF(T40&gt;=50,"J+30 — Approche CFP ou réseau commun","J+60 — CFP seulement / liste de réserve"))</f>
        <v/>
      </c>
    </row>
    <row r="41" ht="52" customHeight="1">
      <c r="A41" s="27" t="n">
        <v>38</v>
      </c>
      <c r="B41" s="28" t="inlineStr">
        <is>
          <t>Shain Raheem</t>
        </is>
      </c>
      <c r="C41" s="29" t="inlineStr">
        <is>
          <t>Afrique</t>
        </is>
      </c>
      <c r="D41" s="29" t="inlineStr">
        <is>
          <t>Kenya</t>
        </is>
      </c>
      <c r="E41" s="29" t="inlineStr">
        <is>
          <t>EN, SW</t>
        </is>
      </c>
      <c r="F41" s="29" t="inlineStr">
        <is>
          <t>Country &amp; Regional Leader EA — Cisco</t>
        </is>
      </c>
      <c r="G41" s="29" t="inlineStr">
        <is>
          <t>Keynote</t>
        </is>
      </c>
      <c r="H41" s="29" t="inlineStr">
        <is>
          <t>Cloud, infrastructure réseau</t>
        </is>
      </c>
      <c r="I41" s="29" t="inlineStr">
        <is>
          <t>Inconnu, sponsor/vendor</t>
        </is>
      </c>
      <c r="J41" s="29" t="n"/>
      <c r="K41" s="29" t="inlineStr">
        <is>
          <t>Non trouvé ; https://www.cyberweekafrica.com/</t>
        </is>
      </c>
      <c r="L41" s="29" t="inlineStr">
        <is>
          <t>À qualifier</t>
        </is>
      </c>
      <c r="M41" s="29" t="inlineStr">
        <is>
          <t>Vague2 - vérifié (Cyberweek Africa)</t>
        </is>
      </c>
      <c r="N41" s="24" t="n">
        <v>60</v>
      </c>
      <c r="O41" s="23" t="n">
        <v>80</v>
      </c>
      <c r="P41" s="24" t="n">
        <v>75</v>
      </c>
      <c r="Q41" s="24" t="n">
        <v>65</v>
      </c>
      <c r="R41" s="24" t="n">
        <v>75</v>
      </c>
      <c r="S41" s="31" t="n">
        <v>55</v>
      </c>
      <c r="T41" s="32">
        <f>ROUND((N41*0.25+O41*0.20+P41*0.20+Q41*0.15+R41*0.10+S41*0.10),0)</f>
        <v/>
      </c>
      <c r="U41" s="33">
        <f>IF(T41&gt;=75,"Tier 1 — Prioritaire",IF(T41&gt;=50,"Tier 2 — À cultiver","Tier 3 — Réserve"))</f>
        <v/>
      </c>
      <c r="V41" s="29">
        <f>IF(T41&gt;=75,"J+0 à J+14 — Contact direct personnalisé",IF(T41&gt;=50,"J+30 — Approche CFP ou réseau commun","J+60 — CFP seulement / liste de réserve"))</f>
        <v/>
      </c>
    </row>
    <row r="42" ht="52" customHeight="1">
      <c r="A42" s="20" t="n">
        <v>39</v>
      </c>
      <c r="B42" s="21" t="inlineStr">
        <is>
          <t>Jason Jordaan</t>
        </is>
      </c>
      <c r="C42" s="22" t="inlineStr">
        <is>
          <t>Afrique</t>
        </is>
      </c>
      <c r="D42" s="22" t="inlineStr">
        <is>
          <t>Afrique du Sud</t>
        </is>
      </c>
      <c r="E42" s="22" t="inlineStr">
        <is>
          <t>EN</t>
        </is>
      </c>
      <c r="F42" s="22" t="n"/>
      <c r="G42" s="22" t="inlineStr">
        <is>
          <t>Talk / Panel</t>
        </is>
      </c>
      <c r="H42" s="22" t="inlineStr">
        <is>
          <t>Digital Forensics, droit &amp; cyber</t>
        </is>
      </c>
      <c r="I42" s="22" t="inlineStr">
        <is>
          <t>Gratuit</t>
        </is>
      </c>
      <c r="J42" s="22" t="n"/>
      <c r="K42" s="22" t="inlineStr">
        <is>
          <t>Via pretalx BSides Cape Town</t>
        </is>
      </c>
      <c r="L42" s="22" t="inlineStr">
        <is>
          <t>À qualifier</t>
        </is>
      </c>
      <c r="M42" s="22" t="inlineStr">
        <is>
          <t>Recherche manuelle / web</t>
        </is>
      </c>
      <c r="N42" s="24" t="n">
        <v>60</v>
      </c>
      <c r="O42" s="24" t="n">
        <v>75</v>
      </c>
      <c r="P42" s="24" t="n">
        <v>65</v>
      </c>
      <c r="Q42" s="23" t="n">
        <v>80</v>
      </c>
      <c r="R42" s="24" t="n">
        <v>75</v>
      </c>
      <c r="S42" s="31" t="n">
        <v>50</v>
      </c>
      <c r="T42" s="32">
        <f>ROUND((N42*0.25+O42*0.20+P42*0.20+Q42*0.15+R42*0.10+S42*0.10),0)</f>
        <v/>
      </c>
      <c r="U42" s="33">
        <f>IF(T42&gt;=75,"Tier 1 — Prioritaire",IF(T42&gt;=50,"Tier 2 — À cultiver","Tier 3 — Réserve"))</f>
        <v/>
      </c>
      <c r="V42" s="22">
        <f>IF(T42&gt;=75,"J+0 à J+14 — Contact direct personnalisé",IF(T42&gt;=50,"J+30 — Approche CFP ou réseau commun","J+60 — CFP seulement / liste de réserve"))</f>
        <v/>
      </c>
    </row>
    <row r="43" ht="52" customHeight="1">
      <c r="A43" s="27" t="n">
        <v>40</v>
      </c>
      <c r="B43" s="28" t="inlineStr">
        <is>
          <t>José M. Fernandez, ing., PhD</t>
        </is>
      </c>
      <c r="C43" s="29" t="inlineStr">
        <is>
          <t>Canada</t>
        </is>
      </c>
      <c r="D43" s="29" t="inlineStr">
        <is>
          <t>Canada (Montréal, QC)</t>
        </is>
      </c>
      <c r="E43" s="29" t="inlineStr">
        <is>
          <t>FR, EN</t>
        </is>
      </c>
      <c r="F43" s="29" t="n"/>
      <c r="G43" s="29" t="inlineStr">
        <is>
          <t>Keynote / Talk académique</t>
        </is>
      </c>
      <c r="H43" s="29" t="inlineStr">
        <is>
          <t>IA &amp; cybersécurité, infrastructures critiques, cyberphysique</t>
        </is>
      </c>
      <c r="I43" s="29" t="inlineStr">
        <is>
          <t>Modéré/négociable</t>
        </is>
      </c>
      <c r="J43" s="29" t="n"/>
      <c r="K43" s="29" t="inlineStr">
        <is>
          <t>dandurand.uqam.ca, ca.linkedin.com/in/jose-m-fernandez-638751125</t>
        </is>
      </c>
      <c r="L43" s="29" t="inlineStr">
        <is>
          <t>À qualifier</t>
        </is>
      </c>
      <c r="M43" s="29" t="inlineStr">
        <is>
          <t>Recherche manuelle / web</t>
        </is>
      </c>
      <c r="N43" s="23" t="n">
        <v>85</v>
      </c>
      <c r="O43" s="23" t="n">
        <v>90</v>
      </c>
      <c r="P43" s="30" t="n">
        <v>20</v>
      </c>
      <c r="Q43" s="24" t="n">
        <v>75</v>
      </c>
      <c r="R43" s="23" t="n">
        <v>80</v>
      </c>
      <c r="S43" s="24" t="n">
        <v>60</v>
      </c>
      <c r="T43" s="32">
        <f>ROUND((N43*0.25+O43*0.20+P43*0.20+Q43*0.15+R43*0.10+S43*0.10),0)</f>
        <v/>
      </c>
      <c r="U43" s="33">
        <f>IF(T43&gt;=75,"Tier 1 — Prioritaire",IF(T43&gt;=50,"Tier 2 — À cultiver","Tier 3 — Réserve"))</f>
        <v/>
      </c>
      <c r="V43" s="29">
        <f>IF(T43&gt;=75,"J+0 à J+14 — Contact direct personnalisé",IF(T43&gt;=50,"J+30 — Approche CFP ou réseau commun","J+60 — CFP seulement / liste de réserve"))</f>
        <v/>
      </c>
    </row>
    <row r="44" ht="52" customHeight="1">
      <c r="A44" s="20" t="n">
        <v>41</v>
      </c>
      <c r="B44" s="21" t="inlineStr">
        <is>
          <t>Dr Raymond Onuoha</t>
        </is>
      </c>
      <c r="C44" s="22" t="inlineStr">
        <is>
          <t>Afrique</t>
        </is>
      </c>
      <c r="D44" s="22" t="inlineStr">
        <is>
          <t>Nigeria (Lagos)</t>
        </is>
      </c>
      <c r="E44" s="22" t="inlineStr">
        <is>
          <t>EN</t>
        </is>
      </c>
      <c r="F44" s="22" t="n"/>
      <c r="G44" s="22" t="inlineStr">
        <is>
          <t>Talk / Panel</t>
        </is>
      </c>
      <c r="H44" s="22" t="inlineStr">
        <is>
          <t>Privacy, GRC, Menaces émergentes en Afrique, politique numérique</t>
        </is>
      </c>
      <c r="I44" s="22" t="inlineStr">
        <is>
          <t>Inconnu, probablement gratuit (cadre académique)</t>
        </is>
      </c>
      <c r="J44" s="22" t="n"/>
      <c r="K44" s="22" t="inlineStr">
        <is>
          <t>Lagos Business School / ResearchGate / linkedin.com/in/raymond-onuoha-56463670</t>
        </is>
      </c>
      <c r="L44" s="22" t="inlineStr">
        <is>
          <t>À qualifier</t>
        </is>
      </c>
      <c r="M44" s="22" t="inlineStr">
        <is>
          <t>Recherche manuelle / web</t>
        </is>
      </c>
      <c r="N44" s="24" t="n">
        <v>60</v>
      </c>
      <c r="O44" s="24" t="n">
        <v>70</v>
      </c>
      <c r="P44" s="23" t="n">
        <v>80</v>
      </c>
      <c r="Q44" s="24" t="n">
        <v>75</v>
      </c>
      <c r="R44" s="24" t="n">
        <v>65</v>
      </c>
      <c r="S44" s="31" t="n">
        <v>55</v>
      </c>
      <c r="T44" s="32">
        <f>ROUND((N44*0.25+O44*0.20+P44*0.20+Q44*0.15+R44*0.10+S44*0.10),0)</f>
        <v/>
      </c>
      <c r="U44" s="33">
        <f>IF(T44&gt;=75,"Tier 1 — Prioritaire",IF(T44&gt;=50,"Tier 2 — À cultiver","Tier 3 — Réserve"))</f>
        <v/>
      </c>
      <c r="V44" s="22">
        <f>IF(T44&gt;=75,"J+0 à J+14 — Contact direct personnalisé",IF(T44&gt;=50,"J+30 — Approche CFP ou réseau commun","J+60 — CFP seulement / liste de réserve"))</f>
        <v/>
      </c>
    </row>
    <row r="45" ht="52" customHeight="1">
      <c r="A45" s="27" t="n">
        <v>42</v>
      </c>
      <c r="B45" s="28" t="inlineStr">
        <is>
          <t>Mikko Hyppönen</t>
        </is>
      </c>
      <c r="C45" s="29" t="inlineStr">
        <is>
          <t>Europe</t>
        </is>
      </c>
      <c r="D45" s="29" t="inlineStr">
        <is>
          <t>Finlande</t>
        </is>
      </c>
      <c r="E45" s="29" t="inlineStr">
        <is>
          <t>FI, EN</t>
        </is>
      </c>
      <c r="F45" s="29" t="inlineStr">
        <is>
          <t>Chief Research Officer / security researcher — Sensofusion / ex-WithSecure/F-Secure</t>
        </is>
      </c>
      <c r="G45" s="29" t="inlineStr">
        <is>
          <t>Talk / Keynote</t>
        </is>
      </c>
      <c r="H45" s="29" t="inlineStr">
        <is>
          <t>Malware, recherche menaces, IA</t>
        </is>
      </c>
      <c r="I45" s="29" t="inlineStr">
        <is>
          <t>Inconnu, probablement très élevé</t>
        </is>
      </c>
      <c r="J45" s="29" t="inlineStr">
        <is>
          <t>Via speaker bureau</t>
        </is>
      </c>
      <c r="K45" s="29" t="inlineStr">
        <is>
          <t>https://www.linkedin.com/in/hypponen/ ; https://mikko.com/</t>
        </is>
      </c>
      <c r="L45" s="29" t="inlineStr">
        <is>
          <t>À qualifier</t>
        </is>
      </c>
      <c r="M45" s="29" t="inlineStr">
        <is>
          <t>Vague1 - vérifié</t>
        </is>
      </c>
      <c r="N45" s="23" t="n">
        <v>100</v>
      </c>
      <c r="O45" s="23" t="n">
        <v>90</v>
      </c>
      <c r="P45" s="30" t="n">
        <v>20</v>
      </c>
      <c r="Q45" s="30" t="n">
        <v>20</v>
      </c>
      <c r="R45" s="23" t="n">
        <v>85</v>
      </c>
      <c r="S45" s="23" t="n">
        <v>100</v>
      </c>
      <c r="T45" s="32">
        <f>ROUND((N45*0.25+O45*0.20+P45*0.20+Q45*0.15+R45*0.10+S45*0.10),0)</f>
        <v/>
      </c>
      <c r="U45" s="33">
        <f>IF(T45&gt;=75,"Tier 1 — Prioritaire",IF(T45&gt;=50,"Tier 2 — À cultiver","Tier 3 — Réserve"))</f>
        <v/>
      </c>
      <c r="V45" s="29">
        <f>IF(T45&gt;=75,"J+0 à J+14 — Contact direct personnalisé",IF(T45&gt;=50,"J+30 — Approche CFP ou réseau commun","J+60 — CFP seulement / liste de réserve"))</f>
        <v/>
      </c>
    </row>
    <row r="46" ht="52" customHeight="1">
      <c r="A46" s="20" t="n">
        <v>43</v>
      </c>
      <c r="B46" s="21" t="inlineStr">
        <is>
          <t>Cheng-Da Tsai (Orange Tsai)</t>
        </is>
      </c>
      <c r="C46" s="22" t="inlineStr">
        <is>
          <t>Asie</t>
        </is>
      </c>
      <c r="D46" s="22" t="inlineStr">
        <is>
          <t>Taiwan</t>
        </is>
      </c>
      <c r="E46" s="22" t="inlineStr">
        <is>
          <t>EN, ZH</t>
        </is>
      </c>
      <c r="F46" s="22" t="n"/>
      <c r="G46" s="22" t="inlineStr">
        <is>
          <t>Talk technique</t>
        </is>
      </c>
      <c r="H46" s="22" t="inlineStr">
        <is>
          <t>AppSec, 0-day research, Pwn2Own champion</t>
        </is>
      </c>
      <c r="I46" s="22" t="n"/>
      <c r="J46" s="22" t="n"/>
      <c r="K46" s="22" t="n"/>
      <c r="L46" s="22" t="inlineStr">
        <is>
          <t>À qualifier</t>
        </is>
      </c>
      <c r="M46" s="22" t="inlineStr">
        <is>
          <t>Vague1 - vérifié</t>
        </is>
      </c>
      <c r="N46" s="23" t="n">
        <v>95</v>
      </c>
      <c r="O46" s="23" t="n">
        <v>95</v>
      </c>
      <c r="P46" s="30" t="n">
        <v>20</v>
      </c>
      <c r="Q46" s="30" t="n">
        <v>35</v>
      </c>
      <c r="R46" s="23" t="n">
        <v>80</v>
      </c>
      <c r="S46" s="23" t="n">
        <v>85</v>
      </c>
      <c r="T46" s="32">
        <f>ROUND((N46*0.25+O46*0.20+P46*0.20+Q46*0.15+R46*0.10+S46*0.10),0)</f>
        <v/>
      </c>
      <c r="U46" s="33">
        <f>IF(T46&gt;=75,"Tier 1 — Prioritaire",IF(T46&gt;=50,"Tier 2 — À cultiver","Tier 3 — Réserve"))</f>
        <v/>
      </c>
      <c r="V46" s="22">
        <f>IF(T46&gt;=75,"J+0 à J+14 — Contact direct personnalisé",IF(T46&gt;=50,"J+30 — Approche CFP ou réseau commun","J+60 — CFP seulement / liste de réserve"))</f>
        <v/>
      </c>
    </row>
    <row r="47" ht="52" customHeight="1">
      <c r="A47" s="27" t="n">
        <v>44</v>
      </c>
      <c r="B47" s="28" t="inlineStr">
        <is>
          <t>Zinet Kemal</t>
        </is>
      </c>
      <c r="C47" s="29" t="inlineStr">
        <is>
          <t>Amérique du Nord</t>
        </is>
      </c>
      <c r="D47" s="29" t="inlineStr">
        <is>
          <t>USA (Minnesota) — origine Éthiopie</t>
        </is>
      </c>
      <c r="E47" s="29" t="inlineStr">
        <is>
          <t>EN</t>
        </is>
      </c>
      <c r="F47" s="29" t="n"/>
      <c r="G47" s="29" t="inlineStr">
        <is>
          <t>Talk / Lightning</t>
        </is>
      </c>
      <c r="H47" s="29" t="inlineStr">
        <is>
          <t>Sensibilisation / Culture sécu, Privacy, diversité, cybersécurité pour enfants</t>
        </is>
      </c>
      <c r="I47" s="29" t="inlineStr">
        <is>
          <t>Inconnu, probablement intervention en ligne/frais</t>
        </is>
      </c>
      <c r="J47" s="29" t="n"/>
      <c r="K47" s="29" t="inlineStr">
        <is>
          <t>zinetkemal.com, LinkedIn</t>
        </is>
      </c>
      <c r="L47" s="29" t="inlineStr">
        <is>
          <t>À qualifier</t>
        </is>
      </c>
      <c r="M47" s="29" t="inlineStr">
        <is>
          <t>Recherche manuelle / web</t>
        </is>
      </c>
      <c r="N47" s="24" t="n">
        <v>70</v>
      </c>
      <c r="O47" s="24" t="n">
        <v>65</v>
      </c>
      <c r="P47" s="24" t="n">
        <v>60</v>
      </c>
      <c r="Q47" s="24" t="n">
        <v>65</v>
      </c>
      <c r="R47" s="24" t="n">
        <v>70</v>
      </c>
      <c r="S47" s="23" t="n">
        <v>80</v>
      </c>
      <c r="T47" s="32">
        <f>ROUND((N47*0.25+O47*0.20+P47*0.20+Q47*0.15+R47*0.10+S47*0.10),0)</f>
        <v/>
      </c>
      <c r="U47" s="33">
        <f>IF(T47&gt;=75,"Tier 1 — Prioritaire",IF(T47&gt;=50,"Tier 2 — À cultiver","Tier 3 — Réserve"))</f>
        <v/>
      </c>
      <c r="V47" s="29">
        <f>IF(T47&gt;=75,"J+0 à J+14 — Contact direct personnalisé",IF(T47&gt;=50,"J+30 — Approche CFP ou réseau commun","J+60 — CFP seulement / liste de réserve"))</f>
        <v/>
      </c>
    </row>
    <row r="48" ht="52" customHeight="1">
      <c r="A48" s="20" t="n">
        <v>45</v>
      </c>
      <c r="B48" s="21" t="inlineStr">
        <is>
          <t>Jen Easterly</t>
        </is>
      </c>
      <c r="C48" s="22" t="inlineStr">
        <is>
          <t>Amérique</t>
        </is>
      </c>
      <c r="D48" s="22" t="inlineStr">
        <is>
          <t>USA</t>
        </is>
      </c>
      <c r="E48" s="22" t="inlineStr">
        <is>
          <t>EN</t>
        </is>
      </c>
      <c r="F48" s="22" t="inlineStr">
        <is>
          <t>CEO; former CISA Director — RSAC</t>
        </is>
      </c>
      <c r="G48" s="22" t="inlineStr">
        <is>
          <t>Keynote</t>
        </is>
      </c>
      <c r="H48" s="22" t="inlineStr">
        <is>
          <t>Cyber policy, leadership, ex-directrice CISA</t>
        </is>
      </c>
      <c r="I48" s="22" t="inlineStr">
        <is>
          <t>Inconnu, probablement très élevé</t>
        </is>
      </c>
      <c r="J48" s="22" t="inlineStr">
        <is>
          <t>Via RSAC</t>
        </is>
      </c>
      <c r="K48" s="22" t="inlineStr">
        <is>
          <t>https://www.linkedin.com/in/jen-easterly ; https://www.rsaconference.com/</t>
        </is>
      </c>
      <c r="L48" s="22" t="inlineStr">
        <is>
          <t>À qualifier</t>
        </is>
      </c>
      <c r="M48" s="22" t="inlineStr">
        <is>
          <t>Vague1 - vérifié</t>
        </is>
      </c>
      <c r="N48" s="23" t="n">
        <v>100</v>
      </c>
      <c r="O48" s="23" t="n">
        <v>85</v>
      </c>
      <c r="P48" s="30" t="n">
        <v>20</v>
      </c>
      <c r="Q48" s="30" t="n">
        <v>20</v>
      </c>
      <c r="R48" s="23" t="n">
        <v>80</v>
      </c>
      <c r="S48" s="23" t="n">
        <v>100</v>
      </c>
      <c r="T48" s="32">
        <f>ROUND((N48*0.25+O48*0.20+P48*0.20+Q48*0.15+R48*0.10+S48*0.10),0)</f>
        <v/>
      </c>
      <c r="U48" s="33">
        <f>IF(T48&gt;=75,"Tier 1 — Prioritaire",IF(T48&gt;=50,"Tier 2 — À cultiver","Tier 3 — Réserve"))</f>
        <v/>
      </c>
      <c r="V48" s="22">
        <f>IF(T48&gt;=75,"J+0 à J+14 — Contact direct personnalisé",IF(T48&gt;=50,"J+30 — Approche CFP ou réseau commun","J+60 — CFP seulement / liste de réserve"))</f>
        <v/>
      </c>
    </row>
    <row r="49" ht="52" customHeight="1">
      <c r="A49" s="27" t="n">
        <v>46</v>
      </c>
      <c r="B49" s="28" t="inlineStr">
        <is>
          <t>Eva Galperin</t>
        </is>
      </c>
      <c r="C49" s="29" t="inlineStr">
        <is>
          <t>Amérique</t>
        </is>
      </c>
      <c r="D49" s="29" t="inlineStr">
        <is>
          <t>USA</t>
        </is>
      </c>
      <c r="E49" s="29" t="inlineStr">
        <is>
          <t>EN</t>
        </is>
      </c>
      <c r="F49" s="29" t="inlineStr">
        <is>
          <t>Director of Cybersecurity — Electronic Frontier Foundation</t>
        </is>
      </c>
      <c r="G49" s="29" t="inlineStr">
        <is>
          <t>Keynote</t>
        </is>
      </c>
      <c r="H49" s="29" t="inlineStr">
        <is>
          <t>Privacy, stalkerware, EFF</t>
        </is>
      </c>
      <c r="I49" s="29" t="inlineStr">
        <is>
          <t>Inconnu, probablement élevé</t>
        </is>
      </c>
      <c r="J49" s="29" t="inlineStr">
        <is>
          <t>Via EFF</t>
        </is>
      </c>
      <c r="K49" s="29" t="inlineStr">
        <is>
          <t>https://x.com/evacide ; https://www.eff.org/about/staff/eva-galperin</t>
        </is>
      </c>
      <c r="L49" s="29" t="inlineStr">
        <is>
          <t>À qualifier</t>
        </is>
      </c>
      <c r="M49" s="29" t="inlineStr">
        <is>
          <t>Vague1 - vérifié</t>
        </is>
      </c>
      <c r="N49" s="23" t="n">
        <v>90</v>
      </c>
      <c r="O49" s="23" t="n">
        <v>80</v>
      </c>
      <c r="P49" s="30" t="n">
        <v>20</v>
      </c>
      <c r="Q49" s="31" t="n">
        <v>50</v>
      </c>
      <c r="R49" s="23" t="n">
        <v>80</v>
      </c>
      <c r="S49" s="23" t="n">
        <v>90</v>
      </c>
      <c r="T49" s="32">
        <f>ROUND((N49*0.25+O49*0.20+P49*0.20+Q49*0.15+R49*0.10+S49*0.10),0)</f>
        <v/>
      </c>
      <c r="U49" s="33">
        <f>IF(T49&gt;=75,"Tier 1 — Prioritaire",IF(T49&gt;=50,"Tier 2 — À cultiver","Tier 3 — Réserve"))</f>
        <v/>
      </c>
      <c r="V49" s="29">
        <f>IF(T49&gt;=75,"J+0 à J+14 — Contact direct personnalisé",IF(T49&gt;=50,"J+30 — Approche CFP ou réseau commun","J+60 — CFP seulement / liste de réserve"))</f>
        <v/>
      </c>
    </row>
    <row r="50" ht="52" customHeight="1">
      <c r="A50" s="20" t="n">
        <v>47</v>
      </c>
      <c r="B50" s="21" t="inlineStr">
        <is>
          <t>John Mutunga</t>
        </is>
      </c>
      <c r="C50" s="22" t="inlineStr">
        <is>
          <t>Afrique</t>
        </is>
      </c>
      <c r="D50" s="22" t="inlineStr">
        <is>
          <t>Kenya</t>
        </is>
      </c>
      <c r="E50" s="22" t="inlineStr">
        <is>
          <t>EN, SW</t>
        </is>
      </c>
      <c r="F50" s="22" t="inlineStr">
        <is>
          <t>Founder and CEO — Cyberpro Global</t>
        </is>
      </c>
      <c r="G50" s="22" t="inlineStr">
        <is>
          <t>Talk / Panel</t>
        </is>
      </c>
      <c r="H50" s="22" t="inlineStr">
        <is>
          <t>Politique cyber, écosystème</t>
        </is>
      </c>
      <c r="I50" s="22" t="inlineStr">
        <is>
          <t>Inconnu, probablement moyen/élevé</t>
        </is>
      </c>
      <c r="J50" s="22" t="inlineStr">
        <is>
          <t>reg@cwa.ke</t>
        </is>
      </c>
      <c r="K50" s="22" t="inlineStr">
        <is>
          <t>Non trouvé ; https://cyberweek.africa/</t>
        </is>
      </c>
      <c r="L50" s="22" t="inlineStr">
        <is>
          <t>À qualifier</t>
        </is>
      </c>
      <c r="M50" s="22" t="inlineStr">
        <is>
          <t>Vague2 - vérifié (Cyberweek Africa)</t>
        </is>
      </c>
      <c r="N50" s="31" t="n">
        <v>50</v>
      </c>
      <c r="O50" s="24" t="n">
        <v>70</v>
      </c>
      <c r="P50" s="23" t="n">
        <v>85</v>
      </c>
      <c r="Q50" s="23" t="n">
        <v>80</v>
      </c>
      <c r="R50" s="24" t="n">
        <v>65</v>
      </c>
      <c r="S50" s="31" t="n">
        <v>50</v>
      </c>
      <c r="T50" s="32">
        <f>ROUND((N50*0.25+O50*0.20+P50*0.20+Q50*0.15+R50*0.10+S50*0.10),0)</f>
        <v/>
      </c>
      <c r="U50" s="33">
        <f>IF(T50&gt;=75,"Tier 1 — Prioritaire",IF(T50&gt;=50,"Tier 2 — À cultiver","Tier 3 — Réserve"))</f>
        <v/>
      </c>
      <c r="V50" s="22">
        <f>IF(T50&gt;=75,"J+0 à J+14 — Contact direct personnalisé",IF(T50&gt;=50,"J+30 — Approche CFP ou réseau commun","J+60 — CFP seulement / liste de réserve"))</f>
        <v/>
      </c>
    </row>
    <row r="51" ht="52" customHeight="1">
      <c r="A51" s="27" t="n">
        <v>48</v>
      </c>
      <c r="B51" s="28" t="inlineStr">
        <is>
          <t>Nancy Nderi</t>
        </is>
      </c>
      <c r="C51" s="29" t="inlineStr">
        <is>
          <t>Afrique</t>
        </is>
      </c>
      <c r="D51" s="29" t="inlineStr">
        <is>
          <t>Kenya</t>
        </is>
      </c>
      <c r="E51" s="29" t="inlineStr">
        <is>
          <t>EN, SW</t>
        </is>
      </c>
      <c r="F51" s="29" t="inlineStr">
        <is>
          <t>Cybersecurity Consultant — Black Code</t>
        </is>
      </c>
      <c r="G51" s="29" t="inlineStr">
        <is>
          <t>Talk / Panel</t>
        </is>
      </c>
      <c r="H51" s="29" t="inlineStr">
        <is>
          <t>Cybersécurité, conseil</t>
        </is>
      </c>
      <c r="I51" s="29" t="inlineStr">
        <is>
          <t>Inconnu, probablement moyen</t>
        </is>
      </c>
      <c r="J51" s="29" t="n"/>
      <c r="K51" s="29" t="inlineStr">
        <is>
          <t>Non trouvé ; https://www.cyberweekafrica.com/</t>
        </is>
      </c>
      <c r="L51" s="29" t="inlineStr">
        <is>
          <t>À qualifier</t>
        </is>
      </c>
      <c r="M51" s="29" t="inlineStr">
        <is>
          <t>Vague2 - vérifié (Cyberweek Africa)</t>
        </is>
      </c>
      <c r="N51" s="31" t="n">
        <v>50</v>
      </c>
      <c r="O51" s="24" t="n">
        <v>70</v>
      </c>
      <c r="P51" s="23" t="n">
        <v>85</v>
      </c>
      <c r="Q51" s="23" t="n">
        <v>80</v>
      </c>
      <c r="R51" s="24" t="n">
        <v>65</v>
      </c>
      <c r="S51" s="31" t="n">
        <v>50</v>
      </c>
      <c r="T51" s="32">
        <f>ROUND((N51*0.25+O51*0.20+P51*0.20+Q51*0.15+R51*0.10+S51*0.10),0)</f>
        <v/>
      </c>
      <c r="U51" s="33">
        <f>IF(T51&gt;=75,"Tier 1 — Prioritaire",IF(T51&gt;=50,"Tier 2 — À cultiver","Tier 3 — Réserve"))</f>
        <v/>
      </c>
      <c r="V51" s="29">
        <f>IF(T51&gt;=75,"J+0 à J+14 — Contact direct personnalisé",IF(T51&gt;=50,"J+30 — Approche CFP ou réseau commun","J+60 — CFP seulement / liste de réserve"))</f>
        <v/>
      </c>
    </row>
    <row r="52" ht="52" customHeight="1">
      <c r="A52" s="20" t="n">
        <v>49</v>
      </c>
      <c r="B52" s="21" t="inlineStr">
        <is>
          <t>Maryam Ahmed, PhD</t>
        </is>
      </c>
      <c r="C52" s="22" t="inlineStr">
        <is>
          <t>Afrique/Diaspora</t>
        </is>
      </c>
      <c r="D52" s="22" t="inlineStr">
        <is>
          <t>Canada (Sudbury, ON)</t>
        </is>
      </c>
      <c r="E52" s="22" t="inlineStr">
        <is>
          <t>EN</t>
        </is>
      </c>
      <c r="F52" s="22" t="n"/>
      <c r="G52" s="22" t="inlineStr">
        <is>
          <t>Talk académique / Panel</t>
        </is>
      </c>
      <c r="H52" s="22" t="inlineStr">
        <is>
          <t>AppSec, sécurité BDD, diaspora</t>
        </is>
      </c>
      <c r="I52" s="22" t="inlineStr">
        <is>
          <t>Inconnu, probablement gratuit</t>
        </is>
      </c>
      <c r="J52" s="22" t="n"/>
      <c r="K52" s="22" t="inlineStr">
        <is>
          <t>linkedin.com/in/maryam-ahmed-phd-94896144 — Cambrian College</t>
        </is>
      </c>
      <c r="L52" s="22" t="inlineStr">
        <is>
          <t>À qualifier</t>
        </is>
      </c>
      <c r="M52" s="22" t="inlineStr">
        <is>
          <t>Recherche manuelle / web</t>
        </is>
      </c>
      <c r="N52" s="31" t="n">
        <v>50</v>
      </c>
      <c r="O52" s="24" t="n">
        <v>70</v>
      </c>
      <c r="P52" s="24" t="n">
        <v>75</v>
      </c>
      <c r="Q52" s="23" t="n">
        <v>90</v>
      </c>
      <c r="R52" s="24" t="n">
        <v>70</v>
      </c>
      <c r="S52" s="31" t="n">
        <v>45</v>
      </c>
      <c r="T52" s="32">
        <f>ROUND((N52*0.25+O52*0.20+P52*0.20+Q52*0.15+R52*0.10+S52*0.10),0)</f>
        <v/>
      </c>
      <c r="U52" s="33">
        <f>IF(T52&gt;=75,"Tier 1 — Prioritaire",IF(T52&gt;=50,"Tier 2 — À cultiver","Tier 3 — Réserve"))</f>
        <v/>
      </c>
      <c r="V52" s="22">
        <f>IF(T52&gt;=75,"J+0 à J+14 — Contact direct personnalisé",IF(T52&gt;=50,"J+30 — Approche CFP ou réseau commun","J+60 — CFP seulement / liste de réserve"))</f>
        <v/>
      </c>
    </row>
    <row r="53" ht="52" customHeight="1">
      <c r="A53" s="27" t="n">
        <v>50</v>
      </c>
      <c r="B53" s="28" t="inlineStr">
        <is>
          <t>David Darfour</t>
        </is>
      </c>
      <c r="C53" s="29" t="inlineStr">
        <is>
          <t>Afrique</t>
        </is>
      </c>
      <c r="D53" s="29" t="inlineStr">
        <is>
          <t>Ghana</t>
        </is>
      </c>
      <c r="E53" s="29" t="inlineStr">
        <is>
          <t>EN</t>
        </is>
      </c>
      <c r="F53" s="29" t="n"/>
      <c r="G53" s="29" t="inlineStr">
        <is>
          <t>Workshop hands-on</t>
        </is>
      </c>
      <c r="H53" s="29" t="inlineStr">
        <is>
          <t>Cloud Security, outils open source (Wazuh, Snort)</t>
        </is>
      </c>
      <c r="I53" s="29" t="inlineStr">
        <is>
          <t>Gratuit probable</t>
        </is>
      </c>
      <c r="J53" s="29" t="n"/>
      <c r="K53" s="29" t="inlineStr">
        <is>
          <t>linkedin.com/in/david-darfour-463798196 — daviddarfour.com</t>
        </is>
      </c>
      <c r="L53" s="29" t="inlineStr">
        <is>
          <t>À qualifier</t>
        </is>
      </c>
      <c r="M53" s="29" t="inlineStr">
        <is>
          <t>Recherche manuelle / web</t>
        </is>
      </c>
      <c r="N53" s="30" t="n">
        <v>35</v>
      </c>
      <c r="O53" s="24" t="n">
        <v>75</v>
      </c>
      <c r="P53" s="23" t="n">
        <v>80</v>
      </c>
      <c r="Q53" s="23" t="n">
        <v>90</v>
      </c>
      <c r="R53" s="23" t="n">
        <v>85</v>
      </c>
      <c r="S53" s="31" t="n">
        <v>40</v>
      </c>
      <c r="T53" s="32">
        <f>ROUND((N53*0.25+O53*0.20+P53*0.20+Q53*0.15+R53*0.10+S53*0.10),0)</f>
        <v/>
      </c>
      <c r="U53" s="33">
        <f>IF(T53&gt;=75,"Tier 1 — Prioritaire",IF(T53&gt;=50,"Tier 2 — À cultiver","Tier 3 — Réserve"))</f>
        <v/>
      </c>
      <c r="V53" s="29">
        <f>IF(T53&gt;=75,"J+0 à J+14 — Contact direct personnalisé",IF(T53&gt;=50,"J+30 — Approche CFP ou réseau commun","J+60 — CFP seulement / liste de réserve"))</f>
        <v/>
      </c>
    </row>
    <row r="54" ht="52" customHeight="1">
      <c r="A54" s="20" t="n">
        <v>51</v>
      </c>
      <c r="B54" s="21" t="inlineStr">
        <is>
          <t>Vladimir Aman, CISSP</t>
        </is>
      </c>
      <c r="C54" s="22" t="inlineStr">
        <is>
          <t>Afrique</t>
        </is>
      </c>
      <c r="D54" s="22" t="inlineStr">
        <is>
          <t>Côte d'Ivoire (Abidjan)</t>
        </is>
      </c>
      <c r="E54" s="22" t="inlineStr">
        <is>
          <t>FR, EN</t>
        </is>
      </c>
      <c r="F54" s="22" t="n"/>
      <c r="G54" s="22" t="inlineStr">
        <is>
          <t>Talk / Panel</t>
        </is>
      </c>
      <c r="H54" s="22" t="inlineStr">
        <is>
          <t>Cybersécurité opérationnelle, régulation</t>
        </is>
      </c>
      <c r="I54" s="22" t="inlineStr">
        <is>
          <t>Gratuit probable</t>
        </is>
      </c>
      <c r="J54" s="22" t="n"/>
      <c r="K54" s="22" t="inlineStr">
        <is>
          <t>ci.linkedin.com/in/vladimir-aman-cissp</t>
        </is>
      </c>
      <c r="L54" s="22" t="inlineStr">
        <is>
          <t>À qualifier</t>
        </is>
      </c>
      <c r="M54" s="22" t="inlineStr">
        <is>
          <t>Recherche manuelle / web</t>
        </is>
      </c>
      <c r="N54" s="31" t="n">
        <v>50</v>
      </c>
      <c r="O54" s="24" t="n">
        <v>70</v>
      </c>
      <c r="P54" s="23" t="n">
        <v>85</v>
      </c>
      <c r="Q54" s="23" t="n">
        <v>80</v>
      </c>
      <c r="R54" s="24" t="n">
        <v>65</v>
      </c>
      <c r="S54" s="31" t="n">
        <v>45</v>
      </c>
      <c r="T54" s="32">
        <f>ROUND((N54*0.25+O54*0.20+P54*0.20+Q54*0.15+R54*0.10+S54*0.10),0)</f>
        <v/>
      </c>
      <c r="U54" s="33">
        <f>IF(T54&gt;=75,"Tier 1 — Prioritaire",IF(T54&gt;=50,"Tier 2 — À cultiver","Tier 3 — Réserve"))</f>
        <v/>
      </c>
      <c r="V54" s="22">
        <f>IF(T54&gt;=75,"J+0 à J+14 — Contact direct personnalisé",IF(T54&gt;=50,"J+30 — Approche CFP ou réseau commun","J+60 — CFP seulement / liste de réserve"))</f>
        <v/>
      </c>
    </row>
    <row r="55" ht="52" customHeight="1">
      <c r="A55" s="27" t="n">
        <v>52</v>
      </c>
      <c r="B55" s="28" t="inlineStr">
        <is>
          <t>Jared Naude</t>
        </is>
      </c>
      <c r="C55" s="29" t="inlineStr">
        <is>
          <t>Afrique</t>
        </is>
      </c>
      <c r="D55" s="29" t="inlineStr">
        <is>
          <t>Afrique du Sud</t>
        </is>
      </c>
      <c r="E55" s="29" t="inlineStr">
        <is>
          <t>EN</t>
        </is>
      </c>
      <c r="F55" s="29" t="n"/>
      <c r="G55" s="29" t="inlineStr">
        <is>
          <t>Talk technique</t>
        </is>
      </c>
      <c r="H55" s="29" t="inlineStr">
        <is>
          <t>Cloud Security</t>
        </is>
      </c>
      <c r="I55" s="29" t="inlineStr">
        <is>
          <t>Gratuit</t>
        </is>
      </c>
      <c r="J55" s="29" t="n"/>
      <c r="K55" s="29" t="inlineStr">
        <is>
          <t>Via pretalx BSides Cape Town</t>
        </is>
      </c>
      <c r="L55" s="29" t="inlineStr">
        <is>
          <t>À qualifier</t>
        </is>
      </c>
      <c r="M55" s="29" t="inlineStr">
        <is>
          <t>Recherche manuelle / web</t>
        </is>
      </c>
      <c r="N55" s="31" t="n">
        <v>50</v>
      </c>
      <c r="O55" s="23" t="n">
        <v>80</v>
      </c>
      <c r="P55" s="24" t="n">
        <v>70</v>
      </c>
      <c r="Q55" s="23" t="n">
        <v>85</v>
      </c>
      <c r="R55" s="24" t="n">
        <v>70</v>
      </c>
      <c r="S55" s="31" t="n">
        <v>40</v>
      </c>
      <c r="T55" s="32">
        <f>ROUND((N55*0.25+O55*0.20+P55*0.20+Q55*0.15+R55*0.10+S55*0.10),0)</f>
        <v/>
      </c>
      <c r="U55" s="33">
        <f>IF(T55&gt;=75,"Tier 1 — Prioritaire",IF(T55&gt;=50,"Tier 2 — À cultiver","Tier 3 — Réserve"))</f>
        <v/>
      </c>
      <c r="V55" s="29">
        <f>IF(T55&gt;=75,"J+0 à J+14 — Contact direct personnalisé",IF(T55&gt;=50,"J+30 — Approche CFP ou réseau commun","J+60 — CFP seulement / liste de réserve"))</f>
        <v/>
      </c>
    </row>
    <row r="56" ht="52" customHeight="1">
      <c r="A56" s="20" t="n">
        <v>53</v>
      </c>
      <c r="B56" s="21" t="inlineStr">
        <is>
          <t>Lesley Carhart</t>
        </is>
      </c>
      <c r="C56" s="22" t="inlineStr">
        <is>
          <t>Océanie</t>
        </is>
      </c>
      <c r="D56" s="22" t="inlineStr">
        <is>
          <t>Australie (ex-USA)</t>
        </is>
      </c>
      <c r="E56" s="22" t="inlineStr">
        <is>
          <t>EN</t>
        </is>
      </c>
      <c r="F56" s="22" t="inlineStr">
        <is>
          <t>ICS/DFIR practitioner &amp; instructor — Dragos / SANS (selon sources publiques)</t>
        </is>
      </c>
      <c r="G56" s="22" t="inlineStr">
        <is>
          <t>Keynote / Workshop / Training</t>
        </is>
      </c>
      <c r="H56" s="22" t="inlineStr">
        <is>
          <t>OT/ICS, Incident Response, formation SANS</t>
        </is>
      </c>
      <c r="I56" s="22" t="inlineStr">
        <is>
          <t>Payant (commercial), gratuit (communautaire BSides)</t>
        </is>
      </c>
      <c r="J56" s="22" t="inlineStr">
        <is>
          <t>Via SANS/Dragos</t>
        </is>
      </c>
      <c r="K56" s="22" t="inlineStr">
        <is>
          <t>https://www.linkedin.com/in/lcarhart ; https://www.sans.org/profiles/lesley-carhart/</t>
        </is>
      </c>
      <c r="L56" s="22" t="inlineStr">
        <is>
          <t>À qualifier</t>
        </is>
      </c>
      <c r="M56" s="22" t="inlineStr">
        <is>
          <t>Recherche manuelle / Vague1</t>
        </is>
      </c>
      <c r="N56" s="23" t="n">
        <v>85</v>
      </c>
      <c r="O56" s="23" t="n">
        <v>90</v>
      </c>
      <c r="P56" s="30" t="n">
        <v>15</v>
      </c>
      <c r="Q56" s="31" t="n">
        <v>50</v>
      </c>
      <c r="R56" s="23" t="n">
        <v>85</v>
      </c>
      <c r="S56" s="23" t="n">
        <v>80</v>
      </c>
      <c r="T56" s="32">
        <f>ROUND((N56*0.25+O56*0.20+P56*0.20+Q56*0.15+R56*0.10+S56*0.10),0)</f>
        <v/>
      </c>
      <c r="U56" s="33">
        <f>IF(T56&gt;=75,"Tier 1 — Prioritaire",IF(T56&gt;=50,"Tier 2 — À cultiver","Tier 3 — Réserve"))</f>
        <v/>
      </c>
      <c r="V56" s="22">
        <f>IF(T56&gt;=75,"J+0 à J+14 — Contact direct personnalisé",IF(T56&gt;=50,"J+30 — Approche CFP ou réseau commun","J+60 — CFP seulement / liste de réserve"))</f>
        <v/>
      </c>
    </row>
    <row r="57" ht="52" customHeight="1">
      <c r="A57" s="27" t="n">
        <v>54</v>
      </c>
      <c r="B57" s="28" t="inlineStr">
        <is>
          <t>Katie Moussouris</t>
        </is>
      </c>
      <c r="C57" s="29" t="inlineStr">
        <is>
          <t>Amérique</t>
        </is>
      </c>
      <c r="D57" s="29" t="inlineStr">
        <is>
          <t>USA</t>
        </is>
      </c>
      <c r="E57" s="29" t="inlineStr">
        <is>
          <t>EN</t>
        </is>
      </c>
      <c r="F57" s="29" t="inlineStr">
        <is>
          <t>Founder &amp; CEO — Luta Security</t>
        </is>
      </c>
      <c r="G57" s="29" t="inlineStr">
        <is>
          <t>Talk / Keynote</t>
        </is>
      </c>
      <c r="H57" s="29" t="inlineStr">
        <is>
          <t>Vulnerability disclosure, bug bounty</t>
        </is>
      </c>
      <c r="I57" s="29" t="inlineStr">
        <is>
          <t>Inconnu, probablement élevé</t>
        </is>
      </c>
      <c r="J57" s="29" t="inlineStr">
        <is>
          <t>Via Luta Security</t>
        </is>
      </c>
      <c r="K57" s="29" t="inlineStr">
        <is>
          <t>https://www.linkedin.com/in/k8em0/ ; https://www.lutasecurity.com/founder-ceo</t>
        </is>
      </c>
      <c r="L57" s="29" t="inlineStr">
        <is>
          <t>À qualifier</t>
        </is>
      </c>
      <c r="M57" s="29" t="inlineStr">
        <is>
          <t>Vague1 - vérifié</t>
        </is>
      </c>
      <c r="N57" s="23" t="n">
        <v>95</v>
      </c>
      <c r="O57" s="23" t="n">
        <v>85</v>
      </c>
      <c r="P57" s="30" t="n">
        <v>20</v>
      </c>
      <c r="Q57" s="30" t="n">
        <v>25</v>
      </c>
      <c r="R57" s="23" t="n">
        <v>80</v>
      </c>
      <c r="S57" s="23" t="n">
        <v>95</v>
      </c>
      <c r="T57" s="32">
        <f>ROUND((N57*0.25+O57*0.20+P57*0.20+Q57*0.15+R57*0.10+S57*0.10),0)</f>
        <v/>
      </c>
      <c r="U57" s="33">
        <f>IF(T57&gt;=75,"Tier 1 — Prioritaire",IF(T57&gt;=50,"Tier 2 — À cultiver","Tier 3 — Réserve"))</f>
        <v/>
      </c>
      <c r="V57" s="29">
        <f>IF(T57&gt;=75,"J+0 à J+14 — Contact direct personnalisé",IF(T57&gt;=50,"J+30 — Approche CFP ou réseau commun","J+60 — CFP seulement / liste de réserve"))</f>
        <v/>
      </c>
    </row>
    <row r="58" ht="52" customHeight="1">
      <c r="A58" s="20" t="n">
        <v>55</v>
      </c>
      <c r="B58" s="21" t="inlineStr">
        <is>
          <t>Sharon Knowles</t>
        </is>
      </c>
      <c r="C58" s="22" t="inlineStr">
        <is>
          <t>Afrique</t>
        </is>
      </c>
      <c r="D58" s="22" t="inlineStr">
        <is>
          <t>Afrique du Sud</t>
        </is>
      </c>
      <c r="E58" s="22" t="inlineStr">
        <is>
          <t>EN</t>
        </is>
      </c>
      <c r="F58" s="22" t="n"/>
      <c r="G58" s="22" t="inlineStr">
        <is>
          <t>Talk technique / atelier</t>
        </is>
      </c>
      <c r="H58" s="22" t="inlineStr">
        <is>
          <t>OSINT</t>
        </is>
      </c>
      <c r="I58" s="22" t="inlineStr">
        <is>
          <t>Gratuit</t>
        </is>
      </c>
      <c r="J58" s="22" t="n"/>
      <c r="K58" s="22" t="inlineStr">
        <is>
          <t>Via pretalx BSides Cape Town</t>
        </is>
      </c>
      <c r="L58" s="22" t="inlineStr">
        <is>
          <t>À qualifier</t>
        </is>
      </c>
      <c r="M58" s="22" t="inlineStr">
        <is>
          <t>Recherche manuelle / web</t>
        </is>
      </c>
      <c r="N58" s="31" t="n">
        <v>50</v>
      </c>
      <c r="O58" s="24" t="n">
        <v>75</v>
      </c>
      <c r="P58" s="24" t="n">
        <v>65</v>
      </c>
      <c r="Q58" s="23" t="n">
        <v>85</v>
      </c>
      <c r="R58" s="24" t="n">
        <v>75</v>
      </c>
      <c r="S58" s="31" t="n">
        <v>40</v>
      </c>
      <c r="T58" s="32">
        <f>ROUND((N58*0.25+O58*0.20+P58*0.20+Q58*0.15+R58*0.10+S58*0.10),0)</f>
        <v/>
      </c>
      <c r="U58" s="33">
        <f>IF(T58&gt;=75,"Tier 1 — Prioritaire",IF(T58&gt;=50,"Tier 2 — À cultiver","Tier 3 — Réserve"))</f>
        <v/>
      </c>
      <c r="V58" s="22">
        <f>IF(T58&gt;=75,"J+0 à J+14 — Contact direct personnalisé",IF(T58&gt;=50,"J+30 — Approche CFP ou réseau commun","J+60 — CFP seulement / liste de réserve"))</f>
        <v/>
      </c>
    </row>
    <row r="59" ht="52" customHeight="1">
      <c r="A59" s="27" t="n">
        <v>56</v>
      </c>
      <c r="B59" s="28" t="inlineStr">
        <is>
          <t>Richard Larose</t>
        </is>
      </c>
      <c r="C59" s="29" t="inlineStr">
        <is>
          <t>Canada</t>
        </is>
      </c>
      <c r="D59" s="29" t="inlineStr">
        <is>
          <t>Canada (Ottawa, ON — CCCS)</t>
        </is>
      </c>
      <c r="E59" s="29" t="inlineStr">
        <is>
          <t>FR, EN</t>
        </is>
      </c>
      <c r="F59" s="29" t="n"/>
      <c r="G59" s="29" t="inlineStr">
        <is>
          <t>Keynote institutionnel</t>
        </is>
      </c>
      <c r="H59" s="29" t="inlineStr">
        <is>
          <t>Politique cyber nationale, ICS/OT</t>
        </is>
      </c>
      <c r="I59" s="29" t="inlineStr">
        <is>
          <t>Gratuit probable</t>
        </is>
      </c>
      <c r="J59" s="29" t="n"/>
      <c r="K59" s="29" t="inlineStr">
        <is>
          <t>Via Centre canadien pour la cybersécurité (cyber.gc.ca)</t>
        </is>
      </c>
      <c r="L59" s="29" t="inlineStr">
        <is>
          <t>À qualifier</t>
        </is>
      </c>
      <c r="M59" s="29" t="inlineStr">
        <is>
          <t>Recherche manuelle / web</t>
        </is>
      </c>
      <c r="N59" s="24" t="n">
        <v>75</v>
      </c>
      <c r="O59" s="23" t="n">
        <v>80</v>
      </c>
      <c r="P59" s="30" t="n">
        <v>25</v>
      </c>
      <c r="Q59" s="23" t="n">
        <v>85</v>
      </c>
      <c r="R59" s="24" t="n">
        <v>70</v>
      </c>
      <c r="S59" s="31" t="n">
        <v>55</v>
      </c>
      <c r="T59" s="32">
        <f>ROUND((N59*0.25+O59*0.20+P59*0.20+Q59*0.15+R59*0.10+S59*0.10),0)</f>
        <v/>
      </c>
      <c r="U59" s="33">
        <f>IF(T59&gt;=75,"Tier 1 — Prioritaire",IF(T59&gt;=50,"Tier 2 — À cultiver","Tier 3 — Réserve"))</f>
        <v/>
      </c>
      <c r="V59" s="29">
        <f>IF(T59&gt;=75,"J+0 à J+14 — Contact direct personnalisé",IF(T59&gt;=50,"J+30 — Approche CFP ou réseau commun","J+60 — CFP seulement / liste de réserve"))</f>
        <v/>
      </c>
    </row>
    <row r="60" ht="52" customHeight="1">
      <c r="A60" s="20" t="n">
        <v>57</v>
      </c>
      <c r="B60" s="21" t="inlineStr">
        <is>
          <t>Magda Chelly, PhD, CISSP</t>
        </is>
      </c>
      <c r="C60" s="22" t="inlineStr">
        <is>
          <t>Asie</t>
        </is>
      </c>
      <c r="D60" s="22" t="inlineStr">
        <is>
          <t>Singapour (origine Tunisie/Pologne)</t>
        </is>
      </c>
      <c r="E60" s="22" t="inlineStr">
        <is>
          <t>EN, FR, PL, IT, AR</t>
        </is>
      </c>
      <c r="F60" s="22" t="n"/>
      <c r="G60" s="22" t="inlineStr">
        <is>
          <t>Keynote / Panel</t>
        </is>
      </c>
      <c r="H60" s="22" t="inlineStr">
        <is>
          <t>GRC, Privacy, Cloud/Infra Security, IA en cybersécurité, diversité</t>
        </is>
      </c>
      <c r="I60" s="22" t="inlineStr">
        <is>
          <t>Payant — cachet professionnel (bureau BigSpeak)</t>
        </is>
      </c>
      <c r="J60" s="22" t="n"/>
      <c r="K60" s="22" t="inlineStr">
        <is>
          <t>Via bigspeak.com, LinkedIn, Medium @m49d4ch3lly</t>
        </is>
      </c>
      <c r="L60" s="22" t="inlineStr">
        <is>
          <t>À qualifier</t>
        </is>
      </c>
      <c r="M60" s="22" t="inlineStr">
        <is>
          <t>Recherche manuelle / web</t>
        </is>
      </c>
      <c r="N60" s="23" t="n">
        <v>85</v>
      </c>
      <c r="O60" s="23" t="n">
        <v>85</v>
      </c>
      <c r="P60" s="30" t="n">
        <v>30</v>
      </c>
      <c r="Q60" s="30" t="n">
        <v>30</v>
      </c>
      <c r="R60" s="23" t="n">
        <v>80</v>
      </c>
      <c r="S60" s="23" t="n">
        <v>80</v>
      </c>
      <c r="T60" s="32">
        <f>ROUND((N60*0.25+O60*0.20+P60*0.20+Q60*0.15+R60*0.10+S60*0.10),0)</f>
        <v/>
      </c>
      <c r="U60" s="33">
        <f>IF(T60&gt;=75,"Tier 1 — Prioritaire",IF(T60&gt;=50,"Tier 2 — À cultiver","Tier 3 — Réserve"))</f>
        <v/>
      </c>
      <c r="V60" s="22">
        <f>IF(T60&gt;=75,"J+0 à J+14 — Contact direct personnalisé",IF(T60&gt;=50,"J+30 — Approche CFP ou réseau commun","J+60 — CFP seulement / liste de réserve"))</f>
        <v/>
      </c>
    </row>
    <row r="61" ht="52" customHeight="1">
      <c r="A61" s="27" t="n">
        <v>58</v>
      </c>
      <c r="B61" s="28" t="inlineStr">
        <is>
          <t>Shubham Mittal</t>
        </is>
      </c>
      <c r="C61" s="29" t="inlineStr">
        <is>
          <t>Asie</t>
        </is>
      </c>
      <c r="D61" s="29" t="inlineStr">
        <is>
          <t>Inde</t>
        </is>
      </c>
      <c r="E61" s="29" t="inlineStr">
        <is>
          <t>EN</t>
        </is>
      </c>
      <c r="F61" s="29" t="n"/>
      <c r="G61" s="29" t="inlineStr">
        <is>
          <t>Talk / Workshop</t>
        </is>
      </c>
      <c r="H61" s="29" t="inlineStr">
        <is>
          <t>Reconnaissance/OSINT, Threat Intelligence, outils open source</t>
        </is>
      </c>
      <c r="I61" s="29" t="inlineStr">
        <is>
          <t>Inconnu, probablement prise en charge frais</t>
        </is>
      </c>
      <c r="J61" s="29" t="n"/>
      <c r="K61" s="29" t="inlineStr">
        <is>
          <t>in.linkedin.com/in/upgoingstar, @upgoingstar</t>
        </is>
      </c>
      <c r="L61" s="29" t="inlineStr">
        <is>
          <t>À qualifier</t>
        </is>
      </c>
      <c r="M61" s="29" t="inlineStr">
        <is>
          <t>Recherche manuelle / web</t>
        </is>
      </c>
      <c r="N61" s="24" t="n">
        <v>75</v>
      </c>
      <c r="O61" s="23" t="n">
        <v>85</v>
      </c>
      <c r="P61" s="30" t="n">
        <v>25</v>
      </c>
      <c r="Q61" s="24" t="n">
        <v>60</v>
      </c>
      <c r="R61" s="23" t="n">
        <v>85</v>
      </c>
      <c r="S61" s="24" t="n">
        <v>70</v>
      </c>
      <c r="T61" s="32">
        <f>ROUND((N61*0.25+O61*0.20+P61*0.20+Q61*0.15+R61*0.10+S61*0.10),0)</f>
        <v/>
      </c>
      <c r="U61" s="33">
        <f>IF(T61&gt;=75,"Tier 1 — Prioritaire",IF(T61&gt;=50,"Tier 2 — À cultiver","Tier 3 — Réserve"))</f>
        <v/>
      </c>
      <c r="V61" s="29">
        <f>IF(T61&gt;=75,"J+0 à J+14 — Contact direct personnalisé",IF(T61&gt;=50,"J+30 — Approche CFP ou réseau commun","J+60 — CFP seulement / liste de réserve"))</f>
        <v/>
      </c>
    </row>
    <row r="62" ht="52" customHeight="1">
      <c r="A62" s="20" t="n">
        <v>59</v>
      </c>
      <c r="B62" s="21" t="inlineStr">
        <is>
          <t>Moses Kariuki</t>
        </is>
      </c>
      <c r="C62" s="22" t="inlineStr">
        <is>
          <t>Afrique</t>
        </is>
      </c>
      <c r="D62" s="22" t="inlineStr">
        <is>
          <t>Kenya</t>
        </is>
      </c>
      <c r="E62" s="22" t="inlineStr">
        <is>
          <t>EN, SW</t>
        </is>
      </c>
      <c r="F62" s="22" t="inlineStr">
        <is>
          <t>GRC Professional — Inconnu</t>
        </is>
      </c>
      <c r="G62" s="22" t="inlineStr">
        <is>
          <t>Talk / Panel</t>
        </is>
      </c>
      <c r="H62" s="22" t="inlineStr">
        <is>
          <t>GRC</t>
        </is>
      </c>
      <c r="I62" s="22" t="inlineStr">
        <is>
          <t>Inconnu, probablement bas/moyen</t>
        </is>
      </c>
      <c r="J62" s="22" t="n"/>
      <c r="K62" s="22" t="inlineStr">
        <is>
          <t>Non trouvé ; https://www.cyberweekafrica.com/</t>
        </is>
      </c>
      <c r="L62" s="22" t="inlineStr">
        <is>
          <t>À qualifier</t>
        </is>
      </c>
      <c r="M62" s="22" t="inlineStr">
        <is>
          <t>Vague2 - vérifié (Cyberweek Africa)</t>
        </is>
      </c>
      <c r="N62" s="31" t="n">
        <v>45</v>
      </c>
      <c r="O62" s="24" t="n">
        <v>70</v>
      </c>
      <c r="P62" s="23" t="n">
        <v>85</v>
      </c>
      <c r="Q62" s="23" t="n">
        <v>80</v>
      </c>
      <c r="R62" s="24" t="n">
        <v>65</v>
      </c>
      <c r="S62" s="31" t="n">
        <v>45</v>
      </c>
      <c r="T62" s="32">
        <f>ROUND((N62*0.25+O62*0.20+P62*0.20+Q62*0.15+R62*0.10+S62*0.10),0)</f>
        <v/>
      </c>
      <c r="U62" s="33">
        <f>IF(T62&gt;=75,"Tier 1 — Prioritaire",IF(T62&gt;=50,"Tier 2 — À cultiver","Tier 3 — Réserve"))</f>
        <v/>
      </c>
      <c r="V62" s="22">
        <f>IF(T62&gt;=75,"J+0 à J+14 — Contact direct personnalisé",IF(T62&gt;=50,"J+30 — Approche CFP ou réseau commun","J+60 — CFP seulement / liste de réserve"))</f>
        <v/>
      </c>
    </row>
    <row r="63" ht="52" customHeight="1">
      <c r="A63" s="27" t="n">
        <v>60</v>
      </c>
      <c r="B63" s="28" t="inlineStr">
        <is>
          <t>Madinah S. Ali</t>
        </is>
      </c>
      <c r="C63" s="29" t="inlineStr">
        <is>
          <t>Amérique / Afrique</t>
        </is>
      </c>
      <c r="D63" s="29" t="inlineStr">
        <is>
          <t>USA (origine Afrique de l'Est)</t>
        </is>
      </c>
      <c r="E63" s="29" t="inlineStr">
        <is>
          <t>EN, SW</t>
        </is>
      </c>
      <c r="F63" s="29" t="inlineStr">
        <is>
          <t>President &amp; Co-Founder — Safe PC</t>
        </is>
      </c>
      <c r="G63" s="29" t="inlineStr">
        <is>
          <t>Talk / Keynote</t>
        </is>
      </c>
      <c r="H63" s="29" t="inlineStr">
        <is>
          <t>Diaspora, entrepreneuriat sécurité</t>
        </is>
      </c>
      <c r="I63" s="29" t="inlineStr">
        <is>
          <t>Inconnu, probablement bas/moyen</t>
        </is>
      </c>
      <c r="J63" s="29" t="n"/>
      <c r="K63" s="29" t="inlineStr">
        <is>
          <t>Non trouvé ; https://www.cyberweekafrica.com/</t>
        </is>
      </c>
      <c r="L63" s="29" t="inlineStr">
        <is>
          <t>À qualifier</t>
        </is>
      </c>
      <c r="M63" s="29" t="inlineStr">
        <is>
          <t>Vague2 - vérifié (Cyberweek Africa)</t>
        </is>
      </c>
      <c r="N63" s="31" t="n">
        <v>55</v>
      </c>
      <c r="O63" s="24" t="n">
        <v>70</v>
      </c>
      <c r="P63" s="24" t="n">
        <v>75</v>
      </c>
      <c r="Q63" s="24" t="n">
        <v>70</v>
      </c>
      <c r="R63" s="24" t="n">
        <v>65</v>
      </c>
      <c r="S63" s="31" t="n">
        <v>55</v>
      </c>
      <c r="T63" s="32">
        <f>ROUND((N63*0.25+O63*0.20+P63*0.20+Q63*0.15+R63*0.10+S63*0.10),0)</f>
        <v/>
      </c>
      <c r="U63" s="33">
        <f>IF(T63&gt;=75,"Tier 1 — Prioritaire",IF(T63&gt;=50,"Tier 2 — À cultiver","Tier 3 — Réserve"))</f>
        <v/>
      </c>
      <c r="V63" s="29">
        <f>IF(T63&gt;=75,"J+0 à J+14 — Contact direct personnalisé",IF(T63&gt;=50,"J+30 — Approche CFP ou réseau commun","J+60 — CFP seulement / liste de réserve"))</f>
        <v/>
      </c>
    </row>
    <row r="64" ht="52" customHeight="1">
      <c r="A64" s="20" t="n">
        <v>61</v>
      </c>
      <c r="B64" s="21" t="inlineStr">
        <is>
          <t>Steve Kariuki</t>
        </is>
      </c>
      <c r="C64" s="22" t="inlineStr">
        <is>
          <t>Afrique</t>
        </is>
      </c>
      <c r="D64" s="22" t="inlineStr">
        <is>
          <t>Kenya</t>
        </is>
      </c>
      <c r="E64" s="22" t="inlineStr">
        <is>
          <t>EN, SW</t>
        </is>
      </c>
      <c r="F64" s="22" t="inlineStr">
        <is>
          <t>Network Traffic Analyst — Profitap</t>
        </is>
      </c>
      <c r="G64" s="22" t="inlineStr">
        <is>
          <t>Talk technique</t>
        </is>
      </c>
      <c r="H64" s="22" t="inlineStr">
        <is>
          <t>Analyse de trafic réseau</t>
        </is>
      </c>
      <c r="I64" s="22" t="inlineStr">
        <is>
          <t>Inconnu, probablement moyen</t>
        </is>
      </c>
      <c r="J64" s="22" t="n"/>
      <c r="K64" s="22" t="inlineStr">
        <is>
          <t>Non trouvé ; https://cyberweek.africa/</t>
        </is>
      </c>
      <c r="L64" s="22" t="inlineStr">
        <is>
          <t>À qualifier</t>
        </is>
      </c>
      <c r="M64" s="22" t="inlineStr">
        <is>
          <t>Vague2 - vérifié (Cyberweek Africa)</t>
        </is>
      </c>
      <c r="N64" s="31" t="n">
        <v>45</v>
      </c>
      <c r="O64" s="24" t="n">
        <v>70</v>
      </c>
      <c r="P64" s="23" t="n">
        <v>85</v>
      </c>
      <c r="Q64" s="23" t="n">
        <v>80</v>
      </c>
      <c r="R64" s="24" t="n">
        <v>65</v>
      </c>
      <c r="S64" s="31" t="n">
        <v>45</v>
      </c>
      <c r="T64" s="32">
        <f>ROUND((N64*0.25+O64*0.20+P64*0.20+Q64*0.15+R64*0.10+S64*0.10),0)</f>
        <v/>
      </c>
      <c r="U64" s="33">
        <f>IF(T64&gt;=75,"Tier 1 — Prioritaire",IF(T64&gt;=50,"Tier 2 — À cultiver","Tier 3 — Réserve"))</f>
        <v/>
      </c>
      <c r="V64" s="22">
        <f>IF(T64&gt;=75,"J+0 à J+14 — Contact direct personnalisé",IF(T64&gt;=50,"J+30 — Approche CFP ou réseau commun","J+60 — CFP seulement / liste de réserve"))</f>
        <v/>
      </c>
    </row>
    <row r="65" ht="52" customHeight="1">
      <c r="A65" s="27" t="n">
        <v>62</v>
      </c>
      <c r="B65" s="28" t="inlineStr">
        <is>
          <t>Sarah Armstrong-Smith</t>
        </is>
      </c>
      <c r="C65" s="29" t="inlineStr">
        <is>
          <t>Europe</t>
        </is>
      </c>
      <c r="D65" s="29" t="inlineStr">
        <is>
          <t>Royaume-Uni (Londres)</t>
        </is>
      </c>
      <c r="E65" s="29" t="inlineStr">
        <is>
          <t>EN</t>
        </is>
      </c>
      <c r="F65" s="29" t="n"/>
      <c r="G65" s="29" t="inlineStr">
        <is>
          <t>Keynote / Panel</t>
        </is>
      </c>
      <c r="H65" s="29" t="inlineStr">
        <is>
          <t>IA en cybersécurité, GRC, Sensibilisation, gestion de crise</t>
        </is>
      </c>
      <c r="I65" s="29" t="inlineStr">
        <is>
          <t>Payant — cachet élevé (plusieurs bureaux: Champions Speakers, A-Speakers, London Speaker Bureau)</t>
        </is>
      </c>
      <c r="J65" s="29" t="n"/>
      <c r="K65" s="29" t="inlineStr">
        <is>
          <t>Via champions-speakers.co.uk, a-speakers.com</t>
        </is>
      </c>
      <c r="L65" s="29" t="inlineStr">
        <is>
          <t>À qualifier</t>
        </is>
      </c>
      <c r="M65" s="29" t="inlineStr">
        <is>
          <t>Recherche manuelle / web</t>
        </is>
      </c>
      <c r="N65" s="23" t="n">
        <v>90</v>
      </c>
      <c r="O65" s="23" t="n">
        <v>85</v>
      </c>
      <c r="P65" s="30" t="n">
        <v>15</v>
      </c>
      <c r="Q65" s="30" t="n">
        <v>25</v>
      </c>
      <c r="R65" s="23" t="n">
        <v>85</v>
      </c>
      <c r="S65" s="23" t="n">
        <v>95</v>
      </c>
      <c r="T65" s="32">
        <f>ROUND((N65*0.25+O65*0.20+P65*0.20+Q65*0.15+R65*0.10+S65*0.10),0)</f>
        <v/>
      </c>
      <c r="U65" s="33">
        <f>IF(T65&gt;=75,"Tier 1 — Prioritaire",IF(T65&gt;=50,"Tier 2 — À cultiver","Tier 3 — Réserve"))</f>
        <v/>
      </c>
      <c r="V65" s="29">
        <f>IF(T65&gt;=75,"J+0 à J+14 — Contact direct personnalisé",IF(T65&gt;=50,"J+30 — Approche CFP ou réseau commun","J+60 — CFP seulement / liste de réserve"))</f>
        <v/>
      </c>
    </row>
    <row r="66" ht="52" customHeight="1">
      <c r="A66" s="20" t="n">
        <v>63</v>
      </c>
      <c r="B66" s="21" t="inlineStr">
        <is>
          <t>Karsten Nohl</t>
        </is>
      </c>
      <c r="C66" s="22" t="inlineStr">
        <is>
          <t>Europe</t>
        </is>
      </c>
      <c r="D66" s="22" t="inlineStr">
        <is>
          <t>Allemagne</t>
        </is>
      </c>
      <c r="E66" s="22" t="inlineStr">
        <is>
          <t>DE, EN</t>
        </is>
      </c>
      <c r="F66" s="22" t="inlineStr">
        <is>
          <t>Security researcher; founder — SRLabs / Allurity</t>
        </is>
      </c>
      <c r="G66" s="22" t="inlineStr">
        <is>
          <t>Talk technique</t>
        </is>
      </c>
      <c r="H66" s="22" t="inlineStr">
        <is>
          <t>Mobile/Telecom security, GSM hacking</t>
        </is>
      </c>
      <c r="I66" s="22" t="inlineStr">
        <is>
          <t>Inconnu, probablement élevé</t>
        </is>
      </c>
      <c r="J66" s="22" t="inlineStr">
        <is>
          <t>Via SRLabs / speaker bureau</t>
        </is>
      </c>
      <c r="K66" s="22" t="inlineStr">
        <is>
          <t>https://www.linkedin.com/in/karsten-nohl/ ; https://srlabs.de/</t>
        </is>
      </c>
      <c r="L66" s="22" t="inlineStr">
        <is>
          <t>À qualifier</t>
        </is>
      </c>
      <c r="M66" s="22" t="inlineStr">
        <is>
          <t>Vague1 - vérifié</t>
        </is>
      </c>
      <c r="N66" s="23" t="n">
        <v>90</v>
      </c>
      <c r="O66" s="23" t="n">
        <v>85</v>
      </c>
      <c r="P66" s="30" t="n">
        <v>15</v>
      </c>
      <c r="Q66" s="30" t="n">
        <v>35</v>
      </c>
      <c r="R66" s="24" t="n">
        <v>75</v>
      </c>
      <c r="S66" s="23" t="n">
        <v>85</v>
      </c>
      <c r="T66" s="32">
        <f>ROUND((N66*0.25+O66*0.20+P66*0.20+Q66*0.15+R66*0.10+S66*0.10),0)</f>
        <v/>
      </c>
      <c r="U66" s="33">
        <f>IF(T66&gt;=75,"Tier 1 — Prioritaire",IF(T66&gt;=50,"Tier 2 — À cultiver","Tier 3 — Réserve"))</f>
        <v/>
      </c>
      <c r="V66" s="22">
        <f>IF(T66&gt;=75,"J+0 à J+14 — Contact direct personnalisé",IF(T66&gt;=50,"J+30 — Approche CFP ou réseau commun","J+60 — CFP seulement / liste de réserve"))</f>
        <v/>
      </c>
    </row>
    <row r="67" ht="52" customHeight="1">
      <c r="A67" s="27" t="n">
        <v>64</v>
      </c>
      <c r="B67" s="28" t="inlineStr">
        <is>
          <t>Adam Shostack</t>
        </is>
      </c>
      <c r="C67" s="29" t="inlineStr">
        <is>
          <t>Amérique</t>
        </is>
      </c>
      <c r="D67" s="29" t="inlineStr">
        <is>
          <t>USA</t>
        </is>
      </c>
      <c r="E67" s="29" t="inlineStr">
        <is>
          <t>EN</t>
        </is>
      </c>
      <c r="F67" s="29" t="inlineStr">
        <is>
          <t>Threat modeling expert — Shostack + Associates</t>
        </is>
      </c>
      <c r="G67" s="29" t="inlineStr">
        <is>
          <t>Talk / Workshop</t>
        </is>
      </c>
      <c r="H67" s="29" t="inlineStr">
        <is>
          <t>Threat Modeling</t>
        </is>
      </c>
      <c r="I67" s="29" t="inlineStr">
        <is>
          <t>Inconnu, probablement moyen/élevé</t>
        </is>
      </c>
      <c r="J67" s="29" t="inlineStr">
        <is>
          <t>Via personal site</t>
        </is>
      </c>
      <c r="K67" s="29" t="inlineStr">
        <is>
          <t>https://www.linkedin.com/in/adamshostack/ ; https://shostack.org/</t>
        </is>
      </c>
      <c r="L67" s="29" t="inlineStr">
        <is>
          <t>À qualifier</t>
        </is>
      </c>
      <c r="M67" s="29" t="inlineStr">
        <is>
          <t>Vague1 - vérifié</t>
        </is>
      </c>
      <c r="N67" s="23" t="n">
        <v>90</v>
      </c>
      <c r="O67" s="23" t="n">
        <v>85</v>
      </c>
      <c r="P67" s="30" t="n">
        <v>15</v>
      </c>
      <c r="Q67" s="31" t="n">
        <v>40</v>
      </c>
      <c r="R67" s="23" t="n">
        <v>80</v>
      </c>
      <c r="S67" s="23" t="n">
        <v>80</v>
      </c>
      <c r="T67" s="32">
        <f>ROUND((N67*0.25+O67*0.20+P67*0.20+Q67*0.15+R67*0.10+S67*0.10),0)</f>
        <v/>
      </c>
      <c r="U67" s="33">
        <f>IF(T67&gt;=75,"Tier 1 — Prioritaire",IF(T67&gt;=50,"Tier 2 — À cultiver","Tier 3 — Réserve"))</f>
        <v/>
      </c>
      <c r="V67" s="29">
        <f>IF(T67&gt;=75,"J+0 à J+14 — Contact direct personnalisé",IF(T67&gt;=50,"J+30 — Approche CFP ou réseau commun","J+60 — CFP seulement / liste de réserve"))</f>
        <v/>
      </c>
    </row>
    <row r="68" ht="52" customHeight="1">
      <c r="A68" s="20" t="n">
        <v>65</v>
      </c>
      <c r="B68" s="21" t="inlineStr">
        <is>
          <t>Alisa Esage</t>
        </is>
      </c>
      <c r="C68" s="22" t="inlineStr">
        <is>
          <t>Amérique</t>
        </is>
      </c>
      <c r="D68" s="22" t="inlineStr">
        <is>
          <t>USA (origine Russie/Ukraine)</t>
        </is>
      </c>
      <c r="E68" s="22" t="inlineStr">
        <is>
          <t>EN, RU</t>
        </is>
      </c>
      <c r="F68" s="22" t="inlineStr">
        <is>
          <t>Founder — Zero Day Engineering</t>
        </is>
      </c>
      <c r="G68" s="22" t="inlineStr">
        <is>
          <t>Talk technique / Workshop</t>
        </is>
      </c>
      <c r="H68" s="22" t="inlineStr">
        <is>
          <t>Exploit development, vulnerability research</t>
        </is>
      </c>
      <c r="I68" s="22" t="inlineStr">
        <is>
          <t>Inconnu, probablement moyen/élevé</t>
        </is>
      </c>
      <c r="J68" s="22" t="inlineStr">
        <is>
          <t>Via Zero Day Engineering</t>
        </is>
      </c>
      <c r="K68" s="22" t="inlineStr">
        <is>
          <t>Non trouvé ; Non trouvé</t>
        </is>
      </c>
      <c r="L68" s="22" t="inlineStr">
        <is>
          <t>À qualifier</t>
        </is>
      </c>
      <c r="M68" s="22" t="inlineStr">
        <is>
          <t>Vague1 - vérifié</t>
        </is>
      </c>
      <c r="N68" s="23" t="n">
        <v>85</v>
      </c>
      <c r="O68" s="23" t="n">
        <v>85</v>
      </c>
      <c r="P68" s="30" t="n">
        <v>20</v>
      </c>
      <c r="Q68" s="31" t="n">
        <v>45</v>
      </c>
      <c r="R68" s="24" t="n">
        <v>75</v>
      </c>
      <c r="S68" s="24" t="n">
        <v>70</v>
      </c>
      <c r="T68" s="32">
        <f>ROUND((N68*0.25+O68*0.20+P68*0.20+Q68*0.15+R68*0.10+S68*0.10),0)</f>
        <v/>
      </c>
      <c r="U68" s="33">
        <f>IF(T68&gt;=75,"Tier 1 — Prioritaire",IF(T68&gt;=50,"Tier 2 — À cultiver","Tier 3 — Réserve"))</f>
        <v/>
      </c>
      <c r="V68" s="22">
        <f>IF(T68&gt;=75,"J+0 à J+14 — Contact direct personnalisé",IF(T68&gt;=50,"J+30 — Approche CFP ou réseau commun","J+60 — CFP seulement / liste de réserve"))</f>
        <v/>
      </c>
    </row>
    <row r="69" ht="52" customHeight="1">
      <c r="A69" s="27" t="n">
        <v>66</v>
      </c>
      <c r="B69" s="28" t="inlineStr">
        <is>
          <t>Jessica Hunter</t>
        </is>
      </c>
      <c r="C69" s="29" t="inlineStr">
        <is>
          <t>Océanie</t>
        </is>
      </c>
      <c r="D69" s="29" t="inlineStr">
        <is>
          <t>Australie</t>
        </is>
      </c>
      <c r="E69" s="29" t="inlineStr">
        <is>
          <t>EN</t>
        </is>
      </c>
      <c r="F69" s="29" t="inlineStr">
        <is>
          <t>Ambassador for Cyber Affairs and Critical Technology — Government of Australia</t>
        </is>
      </c>
      <c r="G69" s="29" t="inlineStr">
        <is>
          <t>Keynote institutionnel</t>
        </is>
      </c>
      <c r="H69" s="29" t="inlineStr">
        <is>
          <t>Cyber diplomacy, politique internationale</t>
        </is>
      </c>
      <c r="I69" s="29" t="inlineStr">
        <is>
          <t>Inconnu, institutionnel</t>
        </is>
      </c>
      <c r="J69" s="29" t="inlineStr">
        <is>
          <t>Via Australian DFAT</t>
        </is>
      </c>
      <c r="K69" s="29" t="inlineStr">
        <is>
          <t>Non trouvé ; https://www.dfat.gov.au/</t>
        </is>
      </c>
      <c r="L69" s="29" t="inlineStr">
        <is>
          <t>À qualifier</t>
        </is>
      </c>
      <c r="M69" s="29" t="inlineStr">
        <is>
          <t>Vague1 - vérifié</t>
        </is>
      </c>
      <c r="N69" s="23" t="n">
        <v>80</v>
      </c>
      <c r="O69" s="24" t="n">
        <v>75</v>
      </c>
      <c r="P69" s="30" t="n">
        <v>20</v>
      </c>
      <c r="Q69" s="24" t="n">
        <v>75</v>
      </c>
      <c r="R69" s="24" t="n">
        <v>70</v>
      </c>
      <c r="S69" s="24" t="n">
        <v>65</v>
      </c>
      <c r="T69" s="32">
        <f>ROUND((N69*0.25+O69*0.20+P69*0.20+Q69*0.15+R69*0.10+S69*0.10),0)</f>
        <v/>
      </c>
      <c r="U69" s="33">
        <f>IF(T69&gt;=75,"Tier 1 — Prioritaire",IF(T69&gt;=50,"Tier 2 — À cultiver","Tier 3 — Réserve"))</f>
        <v/>
      </c>
      <c r="V69" s="29">
        <f>IF(T69&gt;=75,"J+0 à J+14 — Contact direct personnalisé",IF(T69&gt;=50,"J+30 — Approche CFP ou réseau commun","J+60 — CFP seulement / liste de réserve"))</f>
        <v/>
      </c>
    </row>
    <row r="70" ht="52" customHeight="1">
      <c r="A70" s="20" t="n">
        <v>67</v>
      </c>
      <c r="B70" s="21" t="inlineStr">
        <is>
          <t>LTG Michelle McGuinness</t>
        </is>
      </c>
      <c r="C70" s="22" t="inlineStr">
        <is>
          <t>Océanie</t>
        </is>
      </c>
      <c r="D70" s="22" t="inlineStr">
        <is>
          <t>Australie</t>
        </is>
      </c>
      <c r="E70" s="22" t="inlineStr">
        <is>
          <t>EN</t>
        </is>
      </c>
      <c r="F70" s="22" t="inlineStr">
        <is>
          <t>National Cyber Security Coordinator — Australian Government</t>
        </is>
      </c>
      <c r="G70" s="22" t="inlineStr">
        <is>
          <t>Keynote institutionnel</t>
        </is>
      </c>
      <c r="H70" s="22" t="inlineStr">
        <is>
          <t>Cyber policy, coordination nationale</t>
        </is>
      </c>
      <c r="I70" s="22" t="inlineStr">
        <is>
          <t>Inconnu, institutionnel</t>
        </is>
      </c>
      <c r="J70" s="22" t="inlineStr">
        <is>
          <t>Via Australian Government</t>
        </is>
      </c>
      <c r="K70" s="22" t="inlineStr">
        <is>
          <t>Non trouvé ; https://www.homeaffairs.gov.au/</t>
        </is>
      </c>
      <c r="L70" s="22" t="inlineStr">
        <is>
          <t>À qualifier</t>
        </is>
      </c>
      <c r="M70" s="22" t="inlineStr">
        <is>
          <t>Vague1 - vérifié</t>
        </is>
      </c>
      <c r="N70" s="23" t="n">
        <v>80</v>
      </c>
      <c r="O70" s="24" t="n">
        <v>75</v>
      </c>
      <c r="P70" s="30" t="n">
        <v>20</v>
      </c>
      <c r="Q70" s="24" t="n">
        <v>75</v>
      </c>
      <c r="R70" s="24" t="n">
        <v>70</v>
      </c>
      <c r="S70" s="24" t="n">
        <v>65</v>
      </c>
      <c r="T70" s="32">
        <f>ROUND((N70*0.25+O70*0.20+P70*0.20+Q70*0.15+R70*0.10+S70*0.10),0)</f>
        <v/>
      </c>
      <c r="U70" s="33">
        <f>IF(T70&gt;=75,"Tier 1 — Prioritaire",IF(T70&gt;=50,"Tier 2 — À cultiver","Tier 3 — Réserve"))</f>
        <v/>
      </c>
      <c r="V70" s="22">
        <f>IF(T70&gt;=75,"J+0 à J+14 — Contact direct personnalisé",IF(T70&gt;=50,"J+30 — Approche CFP ou réseau commun","J+60 — CFP seulement / liste de réserve"))</f>
        <v/>
      </c>
    </row>
    <row r="71" ht="52" customHeight="1">
      <c r="A71" s="27" t="n">
        <v>68</v>
      </c>
      <c r="B71" s="28" t="inlineStr">
        <is>
          <t>Baptiste Robert (Benkow / fs0c131y)</t>
        </is>
      </c>
      <c r="C71" s="29" t="inlineStr">
        <is>
          <t>Europe</t>
        </is>
      </c>
      <c r="D71" s="29" t="inlineStr">
        <is>
          <t>France (Toulouse)</t>
        </is>
      </c>
      <c r="E71" s="29" t="inlineStr">
        <is>
          <t>FR, EN</t>
        </is>
      </c>
      <c r="F71" s="29" t="n"/>
      <c r="G71" s="29" t="inlineStr">
        <is>
          <t>Talk / Lightning</t>
        </is>
      </c>
      <c r="H71" s="29" t="inlineStr">
        <is>
          <t>Threat Intelligence, Forensics/DFIR, recherche de vulnérabilités</t>
        </is>
      </c>
      <c r="I71" s="29" t="inlineStr">
        <is>
          <t>Inconnu, probablement prise en charge frais</t>
        </is>
      </c>
      <c r="J71" s="29" t="n"/>
      <c r="K71" s="29" t="inlineStr">
        <is>
          <t>Twitter @benkow_ / LinkedIn</t>
        </is>
      </c>
      <c r="L71" s="29" t="inlineStr">
        <is>
          <t>À qualifier</t>
        </is>
      </c>
      <c r="M71" s="29" t="inlineStr">
        <is>
          <t>Recherche manuelle / web</t>
        </is>
      </c>
      <c r="N71" s="24" t="n">
        <v>75</v>
      </c>
      <c r="O71" s="23" t="n">
        <v>85</v>
      </c>
      <c r="P71" s="30" t="n">
        <v>20</v>
      </c>
      <c r="Q71" s="31" t="n">
        <v>55</v>
      </c>
      <c r="R71" s="23" t="n">
        <v>80</v>
      </c>
      <c r="S71" s="24" t="n">
        <v>70</v>
      </c>
      <c r="T71" s="32">
        <f>ROUND((N71*0.25+O71*0.20+P71*0.20+Q71*0.15+R71*0.10+S71*0.10),0)</f>
        <v/>
      </c>
      <c r="U71" s="33">
        <f>IF(T71&gt;=75,"Tier 1 — Prioritaire",IF(T71&gt;=50,"Tier 2 — À cultiver","Tier 3 — Réserve"))</f>
        <v/>
      </c>
      <c r="V71" s="29">
        <f>IF(T71&gt;=75,"J+0 à J+14 — Contact direct personnalisé",IF(T71&gt;=50,"J+30 — Approche CFP ou réseau commun","J+60 — CFP seulement / liste de réserve"))</f>
        <v/>
      </c>
    </row>
    <row r="72" ht="52" customHeight="1">
      <c r="A72" s="20" t="n">
        <v>69</v>
      </c>
      <c r="B72" s="21" t="inlineStr">
        <is>
          <t>Dr Guy-Vincent Jourdan</t>
        </is>
      </c>
      <c r="C72" s="22" t="inlineStr">
        <is>
          <t>Canada</t>
        </is>
      </c>
      <c r="D72" s="22" t="inlineStr">
        <is>
          <t>Canada (Ottawa, ON)</t>
        </is>
      </c>
      <c r="E72" s="22" t="inlineStr">
        <is>
          <t>FR, EN</t>
        </is>
      </c>
      <c r="F72" s="22" t="n"/>
      <c r="G72" s="22" t="inlineStr">
        <is>
          <t>Talk / Panel</t>
        </is>
      </c>
      <c r="H72" s="22" t="inlineStr">
        <is>
          <t>IA en cybersécurité, Cyber-menaces émergentes, simulation de crise</t>
        </is>
      </c>
      <c r="I72" s="22" t="inlineStr">
        <is>
          <t>Inconnu, probablement prise en charge académique</t>
        </is>
      </c>
      <c r="J72" s="22" t="n"/>
      <c r="K72" s="22" t="inlineStr">
        <is>
          <t>Université d'Ottawa / LinkedIn</t>
        </is>
      </c>
      <c r="L72" s="22" t="inlineStr">
        <is>
          <t>À qualifier</t>
        </is>
      </c>
      <c r="M72" s="22" t="inlineStr">
        <is>
          <t>Recherche manuelle / web</t>
        </is>
      </c>
      <c r="N72" s="24" t="n">
        <v>70</v>
      </c>
      <c r="O72" s="23" t="n">
        <v>85</v>
      </c>
      <c r="P72" s="30" t="n">
        <v>20</v>
      </c>
      <c r="Q72" s="24" t="n">
        <v>75</v>
      </c>
      <c r="R72" s="24" t="n">
        <v>75</v>
      </c>
      <c r="S72" s="31" t="n">
        <v>55</v>
      </c>
      <c r="T72" s="32">
        <f>ROUND((N72*0.25+O72*0.20+P72*0.20+Q72*0.15+R72*0.10+S72*0.10),0)</f>
        <v/>
      </c>
      <c r="U72" s="33">
        <f>IF(T72&gt;=75,"Tier 1 — Prioritaire",IF(T72&gt;=50,"Tier 2 — À cultiver","Tier 3 — Réserve"))</f>
        <v/>
      </c>
      <c r="V72" s="22">
        <f>IF(T72&gt;=75,"J+0 à J+14 — Contact direct personnalisé",IF(T72&gt;=50,"J+30 — Approche CFP ou réseau commun","J+60 — CFP seulement / liste de réserve"))</f>
        <v/>
      </c>
    </row>
    <row r="73" ht="52" customHeight="1">
      <c r="A73" s="27" t="n">
        <v>70</v>
      </c>
      <c r="B73" s="28" t="inlineStr">
        <is>
          <t>Dr Jessica Barker MBE</t>
        </is>
      </c>
      <c r="C73" s="29" t="inlineStr">
        <is>
          <t>Europe</t>
        </is>
      </c>
      <c r="D73" s="29" t="inlineStr">
        <is>
          <t>Royaume-Uni</t>
        </is>
      </c>
      <c r="E73" s="29" t="inlineStr">
        <is>
          <t>EN</t>
        </is>
      </c>
      <c r="F73" s="29" t="inlineStr">
        <is>
          <t>Co-Founder &amp; Co-CEO — Cygenta</t>
        </is>
      </c>
      <c r="G73" s="29" t="inlineStr">
        <is>
          <t>Keynote / Talk</t>
        </is>
      </c>
      <c r="H73" s="29" t="inlineStr">
        <is>
          <t>Human risk, sensibilisation</t>
        </is>
      </c>
      <c r="I73" s="29" t="inlineStr">
        <is>
          <t>Inconnu, probablement élevé</t>
        </is>
      </c>
      <c r="J73" s="29" t="inlineStr">
        <is>
          <t>Via Cygenta / speaker bureau</t>
        </is>
      </c>
      <c r="K73" s="29" t="inlineStr">
        <is>
          <t>https://www.linkedin.com/in/jessica-barker ; https://www.cygenta.co.uk/jess-bio</t>
        </is>
      </c>
      <c r="L73" s="29" t="inlineStr">
        <is>
          <t>À qualifier</t>
        </is>
      </c>
      <c r="M73" s="29" t="inlineStr">
        <is>
          <t>Vague1 - vérifié</t>
        </is>
      </c>
      <c r="N73" s="23" t="n">
        <v>85</v>
      </c>
      <c r="O73" s="24" t="n">
        <v>75</v>
      </c>
      <c r="P73" s="30" t="n">
        <v>20</v>
      </c>
      <c r="Q73" s="31" t="n">
        <v>40</v>
      </c>
      <c r="R73" s="23" t="n">
        <v>80</v>
      </c>
      <c r="S73" s="23" t="n">
        <v>85</v>
      </c>
      <c r="T73" s="32">
        <f>ROUND((N73*0.25+O73*0.20+P73*0.20+Q73*0.15+R73*0.10+S73*0.10),0)</f>
        <v/>
      </c>
      <c r="U73" s="33">
        <f>IF(T73&gt;=75,"Tier 1 — Prioritaire",IF(T73&gt;=50,"Tier 2 — À cultiver","Tier 3 — Réserve"))</f>
        <v/>
      </c>
      <c r="V73" s="29">
        <f>IF(T73&gt;=75,"J+0 à J+14 — Contact direct personnalisé",IF(T73&gt;=50,"J+30 — Approche CFP ou réseau commun","J+60 — CFP seulement / liste de réserve"))</f>
        <v/>
      </c>
    </row>
    <row r="74" ht="52" customHeight="1">
      <c r="A74" s="20" t="n">
        <v>71</v>
      </c>
      <c r="B74" s="21" t="inlineStr">
        <is>
          <t>Stephanie Crowe</t>
        </is>
      </c>
      <c r="C74" s="22" t="inlineStr">
        <is>
          <t>Océanie</t>
        </is>
      </c>
      <c r="D74" s="22" t="inlineStr">
        <is>
          <t>Australie</t>
        </is>
      </c>
      <c r="E74" s="22" t="inlineStr">
        <is>
          <t>EN</t>
        </is>
      </c>
      <c r="F74" s="22" t="inlineStr">
        <is>
          <t>Head of ACSC — Australian Cyber Security Centre</t>
        </is>
      </c>
      <c r="G74" s="22" t="inlineStr">
        <is>
          <t>Keynote institutionnel</t>
        </is>
      </c>
      <c r="H74" s="22" t="inlineStr">
        <is>
          <t>National CERT, ACSC</t>
        </is>
      </c>
      <c r="I74" s="22" t="inlineStr">
        <is>
          <t>Inconnu, institutionnel</t>
        </is>
      </c>
      <c r="J74" s="22" t="inlineStr">
        <is>
          <t>Via ACSC</t>
        </is>
      </c>
      <c r="K74" s="22" t="inlineStr">
        <is>
          <t>Non trouvé ; https://www.cyber.gov.au/</t>
        </is>
      </c>
      <c r="L74" s="22" t="inlineStr">
        <is>
          <t>À qualifier</t>
        </is>
      </c>
      <c r="M74" s="22" t="inlineStr">
        <is>
          <t>Vague1 - vérifié</t>
        </is>
      </c>
      <c r="N74" s="24" t="n">
        <v>75</v>
      </c>
      <c r="O74" s="24" t="n">
        <v>75</v>
      </c>
      <c r="P74" s="30" t="n">
        <v>20</v>
      </c>
      <c r="Q74" s="23" t="n">
        <v>80</v>
      </c>
      <c r="R74" s="24" t="n">
        <v>70</v>
      </c>
      <c r="S74" s="24" t="n">
        <v>60</v>
      </c>
      <c r="T74" s="32">
        <f>ROUND((N74*0.25+O74*0.20+P74*0.20+Q74*0.15+R74*0.10+S74*0.10),0)</f>
        <v/>
      </c>
      <c r="U74" s="33">
        <f>IF(T74&gt;=75,"Tier 1 — Prioritaire",IF(T74&gt;=50,"Tier 2 — À cultiver","Tier 3 — Réserve"))</f>
        <v/>
      </c>
      <c r="V74" s="22">
        <f>IF(T74&gt;=75,"J+0 à J+14 — Contact direct personnalisé",IF(T74&gt;=50,"J+30 — Approche CFP ou réseau commun","J+60 — CFP seulement / liste de réserve"))</f>
        <v/>
      </c>
    </row>
    <row r="75" ht="52" customHeight="1">
      <c r="A75" s="27" t="n">
        <v>72</v>
      </c>
      <c r="B75" s="28" t="inlineStr">
        <is>
          <t>Theophilus Lumor</t>
        </is>
      </c>
      <c r="C75" s="29" t="inlineStr">
        <is>
          <t>Afrique</t>
        </is>
      </c>
      <c r="D75" s="29" t="inlineStr">
        <is>
          <t>Ghana</t>
        </is>
      </c>
      <c r="E75" s="29" t="inlineStr">
        <is>
          <t>EN</t>
        </is>
      </c>
      <c r="F75" s="29" t="inlineStr">
        <is>
          <t>Computer Data/Network Security — Inconnu</t>
        </is>
      </c>
      <c r="G75" s="29" t="inlineStr">
        <is>
          <t>Talk technique</t>
        </is>
      </c>
      <c r="H75" s="29" t="inlineStr">
        <is>
          <t>Sécurité réseau et données</t>
        </is>
      </c>
      <c r="I75" s="29" t="inlineStr">
        <is>
          <t>Inconnu</t>
        </is>
      </c>
      <c r="J75" s="29" t="n"/>
      <c r="K75" s="29" t="inlineStr">
        <is>
          <t>Non trouvé ; https://www.cyberweekafrica.com/</t>
        </is>
      </c>
      <c r="L75" s="29" t="inlineStr">
        <is>
          <t>À qualifier</t>
        </is>
      </c>
      <c r="M75" s="29" t="inlineStr">
        <is>
          <t>Vague2 - vérifié (Cyberweek Africa)</t>
        </is>
      </c>
      <c r="N75" s="31" t="n">
        <v>45</v>
      </c>
      <c r="O75" s="24" t="n">
        <v>70</v>
      </c>
      <c r="P75" s="23" t="n">
        <v>80</v>
      </c>
      <c r="Q75" s="24" t="n">
        <v>75</v>
      </c>
      <c r="R75" s="24" t="n">
        <v>65</v>
      </c>
      <c r="S75" s="31" t="n">
        <v>40</v>
      </c>
      <c r="T75" s="32">
        <f>ROUND((N75*0.25+O75*0.20+P75*0.20+Q75*0.15+R75*0.10+S75*0.10),0)</f>
        <v/>
      </c>
      <c r="U75" s="33">
        <f>IF(T75&gt;=75,"Tier 1 — Prioritaire",IF(T75&gt;=50,"Tier 2 — À cultiver","Tier 3 — Réserve"))</f>
        <v/>
      </c>
      <c r="V75" s="29">
        <f>IF(T75&gt;=75,"J+0 à J+14 — Contact direct personnalisé",IF(T75&gt;=50,"J+30 — Approche CFP ou réseau commun","J+60 — CFP seulement / liste de réserve"))</f>
        <v/>
      </c>
    </row>
    <row r="76" ht="52" customHeight="1">
      <c r="A76" s="20" t="n">
        <v>73</v>
      </c>
      <c r="B76" s="21" t="inlineStr">
        <is>
          <t>Thomas Schmidt</t>
        </is>
      </c>
      <c r="C76" s="22" t="inlineStr">
        <is>
          <t>Europe</t>
        </is>
      </c>
      <c r="D76" s="22" t="inlineStr">
        <is>
          <t>Allemagne</t>
        </is>
      </c>
      <c r="E76" s="22" t="inlineStr">
        <is>
          <t>DE, EN</t>
        </is>
      </c>
      <c r="F76" s="22" t="n"/>
      <c r="G76" s="22" t="inlineStr">
        <is>
          <t>Talk technique</t>
        </is>
      </c>
      <c r="H76" s="22" t="inlineStr">
        <is>
          <t>OT/ICS/SCADA, automatisation des advisories, SBOM</t>
        </is>
      </c>
      <c r="I76" s="22" t="inlineStr">
        <is>
          <t>Gratuit probable</t>
        </is>
      </c>
      <c r="J76" s="22" t="n"/>
      <c r="K76" s="22" t="inlineStr">
        <is>
          <t>Via BSI Allemagne / FIRST.org</t>
        </is>
      </c>
      <c r="L76" s="22" t="inlineStr">
        <is>
          <t>À qualifier</t>
        </is>
      </c>
      <c r="M76" s="22" t="inlineStr">
        <is>
          <t>Recherche manuelle / web</t>
        </is>
      </c>
      <c r="N76" s="24" t="n">
        <v>70</v>
      </c>
      <c r="O76" s="23" t="n">
        <v>85</v>
      </c>
      <c r="P76" s="30" t="n">
        <v>15</v>
      </c>
      <c r="Q76" s="23" t="n">
        <v>80</v>
      </c>
      <c r="R76" s="23" t="n">
        <v>80</v>
      </c>
      <c r="S76" s="31" t="n">
        <v>50</v>
      </c>
      <c r="T76" s="32">
        <f>ROUND((N76*0.25+O76*0.20+P76*0.20+Q76*0.15+R76*0.10+S76*0.10),0)</f>
        <v/>
      </c>
      <c r="U76" s="33">
        <f>IF(T76&gt;=75,"Tier 1 — Prioritaire",IF(T76&gt;=50,"Tier 2 — À cultiver","Tier 3 — Réserve"))</f>
        <v/>
      </c>
      <c r="V76" s="22">
        <f>IF(T76&gt;=75,"J+0 à J+14 — Contact direct personnalisé",IF(T76&gt;=50,"J+30 — Approche CFP ou réseau commun","J+60 — CFP seulement / liste de réserve"))</f>
        <v/>
      </c>
    </row>
    <row r="77" ht="52" customHeight="1">
      <c r="A77" s="27" t="n">
        <v>74</v>
      </c>
      <c r="B77" s="28" t="inlineStr">
        <is>
          <t>Gérôme Billois</t>
        </is>
      </c>
      <c r="C77" s="29" t="inlineStr">
        <is>
          <t>Europe</t>
        </is>
      </c>
      <c r="D77" s="29" t="inlineStr">
        <is>
          <t>France (Paris)</t>
        </is>
      </c>
      <c r="E77" s="29" t="inlineStr">
        <is>
          <t>FR, EN</t>
        </is>
      </c>
      <c r="F77" s="29" t="n"/>
      <c r="G77" s="29" t="inlineStr">
        <is>
          <t>Keynote / Talk</t>
        </is>
      </c>
      <c r="H77" s="29" t="inlineStr">
        <is>
          <t>GRC, Menaces émergentes, Gestion de crise, IA en cybersécurité</t>
        </is>
      </c>
      <c r="I77" s="29" t="inlineStr">
        <is>
          <t>Inconnu, probablement prise en charge cabinet</t>
        </is>
      </c>
      <c r="J77" s="29" t="n"/>
      <c r="K77" s="29" t="inlineStr">
        <is>
          <t>fr.linkedin.com/in/gbillois</t>
        </is>
      </c>
      <c r="L77" s="29" t="inlineStr">
        <is>
          <t>À qualifier</t>
        </is>
      </c>
      <c r="M77" s="29" t="inlineStr">
        <is>
          <t>Recherche manuelle / web</t>
        </is>
      </c>
      <c r="N77" s="24" t="n">
        <v>75</v>
      </c>
      <c r="O77" s="23" t="n">
        <v>85</v>
      </c>
      <c r="P77" s="30" t="n">
        <v>20</v>
      </c>
      <c r="Q77" s="31" t="n">
        <v>45</v>
      </c>
      <c r="R77" s="23" t="n">
        <v>80</v>
      </c>
      <c r="S77" s="24" t="n">
        <v>75</v>
      </c>
      <c r="T77" s="32">
        <f>ROUND((N77*0.25+O77*0.20+P77*0.20+Q77*0.15+R77*0.10+S77*0.10),0)</f>
        <v/>
      </c>
      <c r="U77" s="33">
        <f>IF(T77&gt;=75,"Tier 1 — Prioritaire",IF(T77&gt;=50,"Tier 2 — À cultiver","Tier 3 — Réserve"))</f>
        <v/>
      </c>
      <c r="V77" s="29">
        <f>IF(T77&gt;=75,"J+0 à J+14 — Contact direct personnalisé",IF(T77&gt;=50,"J+30 — Approche CFP ou réseau commun","J+60 — CFP seulement / liste de réserve"))</f>
        <v/>
      </c>
    </row>
    <row r="78" ht="52" customHeight="1">
      <c r="A78" s="20" t="n">
        <v>75</v>
      </c>
      <c r="B78" s="21" t="inlineStr">
        <is>
          <t>Roger Dingledine</t>
        </is>
      </c>
      <c r="C78" s="22" t="inlineStr">
        <is>
          <t>Amérique</t>
        </is>
      </c>
      <c r="D78" s="22" t="inlineStr">
        <is>
          <t>USA</t>
        </is>
      </c>
      <c r="E78" s="22" t="inlineStr">
        <is>
          <t>EN</t>
        </is>
      </c>
      <c r="F78" s="22" t="inlineStr">
        <is>
          <t>Co-Founder — Tor Project</t>
        </is>
      </c>
      <c r="G78" s="22" t="inlineStr">
        <is>
          <t>Keynote</t>
        </is>
      </c>
      <c r="H78" s="22" t="inlineStr">
        <is>
          <t>Privacy, anonymat, fondateur Tor</t>
        </is>
      </c>
      <c r="I78" s="22" t="inlineStr">
        <is>
          <t>Inconnu, probablement moyen/élevé</t>
        </is>
      </c>
      <c r="J78" s="22" t="inlineStr">
        <is>
          <t>Via Tor Project</t>
        </is>
      </c>
      <c r="K78" s="22" t="inlineStr">
        <is>
          <t>https://www.linkedin.com/in/roger-dingledine-3452823/ ; https://www.torproject.org/</t>
        </is>
      </c>
      <c r="L78" s="22" t="inlineStr">
        <is>
          <t>À qualifier</t>
        </is>
      </c>
      <c r="M78" s="22" t="inlineStr">
        <is>
          <t>Vague1 - vérifié</t>
        </is>
      </c>
      <c r="N78" s="23" t="n">
        <v>90</v>
      </c>
      <c r="O78" s="24" t="n">
        <v>75</v>
      </c>
      <c r="P78" s="30" t="n">
        <v>15</v>
      </c>
      <c r="Q78" s="30" t="n">
        <v>35</v>
      </c>
      <c r="R78" s="24" t="n">
        <v>75</v>
      </c>
      <c r="S78" s="23" t="n">
        <v>85</v>
      </c>
      <c r="T78" s="32">
        <f>ROUND((N78*0.25+O78*0.20+P78*0.20+Q78*0.15+R78*0.10+S78*0.10),0)</f>
        <v/>
      </c>
      <c r="U78" s="33">
        <f>IF(T78&gt;=75,"Tier 1 — Prioritaire",IF(T78&gt;=50,"Tier 2 — À cultiver","Tier 3 — Réserve"))</f>
        <v/>
      </c>
      <c r="V78" s="22">
        <f>IF(T78&gt;=75,"J+0 à J+14 — Contact direct personnalisé",IF(T78&gt;=50,"J+30 — Approche CFP ou réseau commun","J+60 — CFP seulement / liste de réserve"))</f>
        <v/>
      </c>
    </row>
    <row r="79" ht="52" customHeight="1">
      <c r="A79" s="27" t="n">
        <v>76</v>
      </c>
      <c r="B79" s="28" t="inlineStr">
        <is>
          <t>Keren Elazari</t>
        </is>
      </c>
      <c r="C79" s="29" t="inlineStr">
        <is>
          <t>Moyen-Orient / Asie</t>
        </is>
      </c>
      <c r="D79" s="29" t="inlineStr">
        <is>
          <t>Israël</t>
        </is>
      </c>
      <c r="E79" s="29" t="inlineStr">
        <is>
          <t>HE, EN</t>
        </is>
      </c>
      <c r="F79" s="29" t="inlineStr">
        <is>
          <t>Cybersecurity analyst; speaker — Independent / Gigaom / Building Cyber Resilience (sources variables)</t>
        </is>
      </c>
      <c r="G79" s="29" t="inlineStr">
        <is>
          <t>Keynote</t>
        </is>
      </c>
      <c r="H79" s="29" t="inlineStr">
        <is>
          <t>Hacker culture, sensibilisation</t>
        </is>
      </c>
      <c r="I79" s="29" t="inlineStr">
        <is>
          <t>Inconnu, probablement élevé</t>
        </is>
      </c>
      <c r="J79" s="29" t="inlineStr">
        <is>
          <t>Via site/speaker bureau</t>
        </is>
      </c>
      <c r="K79" s="29" t="inlineStr">
        <is>
          <t>https://www.linkedin.com/in/kerenelazari/ ; https://k3r3n3.com/</t>
        </is>
      </c>
      <c r="L79" s="29" t="inlineStr">
        <is>
          <t>À qualifier</t>
        </is>
      </c>
      <c r="M79" s="29" t="inlineStr">
        <is>
          <t>Vague1 - vérifié</t>
        </is>
      </c>
      <c r="N79" s="23" t="n">
        <v>85</v>
      </c>
      <c r="O79" s="24" t="n">
        <v>70</v>
      </c>
      <c r="P79" s="30" t="n">
        <v>20</v>
      </c>
      <c r="Q79" s="31" t="n">
        <v>45</v>
      </c>
      <c r="R79" s="23" t="n">
        <v>80</v>
      </c>
      <c r="S79" s="23" t="n">
        <v>85</v>
      </c>
      <c r="T79" s="32">
        <f>ROUND((N79*0.25+O79*0.20+P79*0.20+Q79*0.15+R79*0.10+S79*0.10),0)</f>
        <v/>
      </c>
      <c r="U79" s="33">
        <f>IF(T79&gt;=75,"Tier 1 — Prioritaire",IF(T79&gt;=50,"Tier 2 — À cultiver","Tier 3 — Réserve"))</f>
        <v/>
      </c>
      <c r="V79" s="29">
        <f>IF(T79&gt;=75,"J+0 à J+14 — Contact direct personnalisé",IF(T79&gt;=50,"J+30 — Approche CFP ou réseau commun","J+60 — CFP seulement / liste de réserve"))</f>
        <v/>
      </c>
    </row>
    <row r="80" ht="52" customHeight="1">
      <c r="A80" s="20" t="n">
        <v>77</v>
      </c>
      <c r="B80" s="21" t="inlineStr">
        <is>
          <t>Lenny Zeltser</t>
        </is>
      </c>
      <c r="C80" s="22" t="inlineStr">
        <is>
          <t>Amérique</t>
        </is>
      </c>
      <c r="D80" s="22" t="inlineStr">
        <is>
          <t>USA</t>
        </is>
      </c>
      <c r="E80" s="22" t="inlineStr">
        <is>
          <t>EN</t>
        </is>
      </c>
      <c r="F80" s="22" t="inlineStr">
        <is>
          <t>Cybersecurity leader, author, instructor — Zeltser / SANS / Axonius (sources variables)</t>
        </is>
      </c>
      <c r="G80" s="22" t="inlineStr">
        <is>
          <t>Talk technique</t>
        </is>
      </c>
      <c r="H80" s="22" t="inlineStr">
        <is>
          <t>Malware analysis, incident response</t>
        </is>
      </c>
      <c r="I80" s="22" t="inlineStr">
        <is>
          <t>Inconnu, probablement élevé</t>
        </is>
      </c>
      <c r="J80" s="22" t="inlineStr">
        <is>
          <t>Via personal site</t>
        </is>
      </c>
      <c r="K80" s="22" t="inlineStr">
        <is>
          <t>https://www.linkedin.com/in/lennyzeltser/ ; https://zeltser.com/</t>
        </is>
      </c>
      <c r="L80" s="22" t="inlineStr">
        <is>
          <t>À qualifier</t>
        </is>
      </c>
      <c r="M80" s="22" t="inlineStr">
        <is>
          <t>Vague1 - vérifié</t>
        </is>
      </c>
      <c r="N80" s="23" t="n">
        <v>80</v>
      </c>
      <c r="O80" s="23" t="n">
        <v>85</v>
      </c>
      <c r="P80" s="30" t="n">
        <v>15</v>
      </c>
      <c r="Q80" s="31" t="n">
        <v>40</v>
      </c>
      <c r="R80" s="23" t="n">
        <v>80</v>
      </c>
      <c r="S80" s="24" t="n">
        <v>75</v>
      </c>
      <c r="T80" s="32">
        <f>ROUND((N80*0.25+O80*0.20+P80*0.20+Q80*0.15+R80*0.10+S80*0.10),0)</f>
        <v/>
      </c>
      <c r="U80" s="33">
        <f>IF(T80&gt;=75,"Tier 1 — Prioritaire",IF(T80&gt;=50,"Tier 2 — À cultiver","Tier 3 — Réserve"))</f>
        <v/>
      </c>
      <c r="V80" s="22">
        <f>IF(T80&gt;=75,"J+0 à J+14 — Contact direct personnalisé",IF(T80&gt;=50,"J+30 — Approche CFP ou réseau commun","J+60 — CFP seulement / liste de réserve"))</f>
        <v/>
      </c>
    </row>
    <row r="81" ht="52" customHeight="1">
      <c r="A81" s="27" t="n">
        <v>78</v>
      </c>
      <c r="B81" s="28" t="inlineStr">
        <is>
          <t>Daniel Miessler</t>
        </is>
      </c>
      <c r="C81" s="29" t="inlineStr">
        <is>
          <t>Amérique</t>
        </is>
      </c>
      <c r="D81" s="29" t="inlineStr">
        <is>
          <t>USA</t>
        </is>
      </c>
      <c r="E81" s="29" t="inlineStr">
        <is>
          <t>EN</t>
        </is>
      </c>
      <c r="F81" s="29" t="inlineStr">
        <is>
          <t>Founder; AI/Security researcher — Unsupervised Learning</t>
        </is>
      </c>
      <c r="G81" s="29" t="inlineStr">
        <is>
          <t>Talk / Keynote</t>
        </is>
      </c>
      <c r="H81" s="29" t="inlineStr">
        <is>
          <t>IA &amp; cybersécurité, essayiste</t>
        </is>
      </c>
      <c r="I81" s="29" t="inlineStr">
        <is>
          <t>Inconnu, probablement moyen/élevé</t>
        </is>
      </c>
      <c r="J81" s="29" t="inlineStr">
        <is>
          <t>Via Unsupervised Learning</t>
        </is>
      </c>
      <c r="K81" s="29" t="inlineStr">
        <is>
          <t>https://www.linkedin.com/in/danielmiessler/ ; https://danielmiessler.com/</t>
        </is>
      </c>
      <c r="L81" s="29" t="inlineStr">
        <is>
          <t>À qualifier</t>
        </is>
      </c>
      <c r="M81" s="29" t="inlineStr">
        <is>
          <t>Vague1 - vérifié</t>
        </is>
      </c>
      <c r="N81" s="24" t="n">
        <v>75</v>
      </c>
      <c r="O81" s="23" t="n">
        <v>85</v>
      </c>
      <c r="P81" s="30" t="n">
        <v>15</v>
      </c>
      <c r="Q81" s="31" t="n">
        <v>50</v>
      </c>
      <c r="R81" s="24" t="n">
        <v>70</v>
      </c>
      <c r="S81" s="23" t="n">
        <v>85</v>
      </c>
      <c r="T81" s="32">
        <f>ROUND((N81*0.25+O81*0.20+P81*0.20+Q81*0.15+R81*0.10+S81*0.10),0)</f>
        <v/>
      </c>
      <c r="U81" s="33">
        <f>IF(T81&gt;=75,"Tier 1 — Prioritaire",IF(T81&gt;=50,"Tier 2 — À cultiver","Tier 3 — Réserve"))</f>
        <v/>
      </c>
      <c r="V81" s="29">
        <f>IF(T81&gt;=75,"J+0 à J+14 — Contact direct personnalisé",IF(T81&gt;=50,"J+30 — Approche CFP ou réseau commun","J+60 — CFP seulement / liste de réserve"))</f>
        <v/>
      </c>
    </row>
    <row r="82" ht="52" customHeight="1">
      <c r="A82" s="20" t="n">
        <v>79</v>
      </c>
      <c r="B82" s="21" t="inlineStr">
        <is>
          <t>Emmanuel Kimeu</t>
        </is>
      </c>
      <c r="C82" s="22" t="inlineStr">
        <is>
          <t>Afrique</t>
        </is>
      </c>
      <c r="D82" s="22" t="inlineStr">
        <is>
          <t>Kenya</t>
        </is>
      </c>
      <c r="E82" s="22" t="inlineStr">
        <is>
          <t>EN, SW</t>
        </is>
      </c>
      <c r="F82" s="22" t="inlineStr">
        <is>
          <t>Security and Audit Control — MICDE</t>
        </is>
      </c>
      <c r="G82" s="22" t="inlineStr">
        <is>
          <t>Talk</t>
        </is>
      </c>
      <c r="H82" s="22" t="inlineStr">
        <is>
          <t>Audit, sécurité</t>
        </is>
      </c>
      <c r="I82" s="22" t="inlineStr">
        <is>
          <t>Inconnu, institutionnel</t>
        </is>
      </c>
      <c r="J82" s="22" t="n"/>
      <c r="K82" s="22" t="inlineStr">
        <is>
          <t>Non trouvé ; https://www.cyberweekafrica.com/</t>
        </is>
      </c>
      <c r="L82" s="22" t="inlineStr">
        <is>
          <t>À qualifier</t>
        </is>
      </c>
      <c r="M82" s="22" t="inlineStr">
        <is>
          <t>Vague2 - vérifié (Cyberweek Africa)</t>
        </is>
      </c>
      <c r="N82" s="31" t="n">
        <v>40</v>
      </c>
      <c r="O82" s="24" t="n">
        <v>65</v>
      </c>
      <c r="P82" s="23" t="n">
        <v>85</v>
      </c>
      <c r="Q82" s="23" t="n">
        <v>80</v>
      </c>
      <c r="R82" s="24" t="n">
        <v>60</v>
      </c>
      <c r="S82" s="31" t="n">
        <v>40</v>
      </c>
      <c r="T82" s="32">
        <f>ROUND((N82*0.25+O82*0.20+P82*0.20+Q82*0.15+R82*0.10+S82*0.10),0)</f>
        <v/>
      </c>
      <c r="U82" s="33">
        <f>IF(T82&gt;=75,"Tier 1 — Prioritaire",IF(T82&gt;=50,"Tier 2 — À cultiver","Tier 3 — Réserve"))</f>
        <v/>
      </c>
      <c r="V82" s="22">
        <f>IF(T82&gt;=75,"J+0 à J+14 — Contact direct personnalisé",IF(T82&gt;=50,"J+30 — Approche CFP ou réseau commun","J+60 — CFP seulement / liste de réserve"))</f>
        <v/>
      </c>
    </row>
    <row r="83" ht="52" customHeight="1">
      <c r="A83" s="27" t="n">
        <v>80</v>
      </c>
      <c r="B83" s="28" t="inlineStr">
        <is>
          <t>Victor Wanyama</t>
        </is>
      </c>
      <c r="C83" s="29" t="inlineStr">
        <is>
          <t>Afrique</t>
        </is>
      </c>
      <c r="D83" s="29" t="inlineStr">
        <is>
          <t>Kenya</t>
        </is>
      </c>
      <c r="E83" s="29" t="inlineStr">
        <is>
          <t>EN, SW</t>
        </is>
      </c>
      <c r="F83" s="29" t="inlineStr">
        <is>
          <t>Cybersecurity Expert — Inconnu</t>
        </is>
      </c>
      <c r="G83" s="29" t="inlineStr">
        <is>
          <t>Talk</t>
        </is>
      </c>
      <c r="H83" s="29" t="inlineStr">
        <is>
          <t>Cybersécurité générale</t>
        </is>
      </c>
      <c r="I83" s="29" t="inlineStr">
        <is>
          <t>Inconnu</t>
        </is>
      </c>
      <c r="J83" s="29" t="n"/>
      <c r="K83" s="29" t="inlineStr">
        <is>
          <t>Non trouvé ; https://www.cyberweekafrica.com/</t>
        </is>
      </c>
      <c r="L83" s="29" t="inlineStr">
        <is>
          <t>À qualifier</t>
        </is>
      </c>
      <c r="M83" s="29" t="inlineStr">
        <is>
          <t>Vague2 - vérifié (Cyberweek Africa)</t>
        </is>
      </c>
      <c r="N83" s="31" t="n">
        <v>40</v>
      </c>
      <c r="O83" s="24" t="n">
        <v>65</v>
      </c>
      <c r="P83" s="23" t="n">
        <v>85</v>
      </c>
      <c r="Q83" s="23" t="n">
        <v>80</v>
      </c>
      <c r="R83" s="24" t="n">
        <v>60</v>
      </c>
      <c r="S83" s="31" t="n">
        <v>40</v>
      </c>
      <c r="T83" s="32">
        <f>ROUND((N83*0.25+O83*0.20+P83*0.20+Q83*0.15+R83*0.10+S83*0.10),0)</f>
        <v/>
      </c>
      <c r="U83" s="33">
        <f>IF(T83&gt;=75,"Tier 1 — Prioritaire",IF(T83&gt;=50,"Tier 2 — À cultiver","Tier 3 — Réserve"))</f>
        <v/>
      </c>
      <c r="V83" s="29">
        <f>IF(T83&gt;=75,"J+0 à J+14 — Contact direct personnalisé",IF(T83&gt;=50,"J+30 — Approche CFP ou réseau commun","J+60 — CFP seulement / liste de réserve"))</f>
        <v/>
      </c>
    </row>
    <row r="84" ht="52" customHeight="1">
      <c r="A84" s="20" t="n">
        <v>81</v>
      </c>
      <c r="B84" s="21" t="inlineStr">
        <is>
          <t>Ahmed Haji Issack</t>
        </is>
      </c>
      <c r="C84" s="22" t="inlineStr">
        <is>
          <t>Afrique</t>
        </is>
      </c>
      <c r="D84" s="22" t="inlineStr">
        <is>
          <t>Kenya</t>
        </is>
      </c>
      <c r="E84" s="22" t="inlineStr">
        <is>
          <t>EN, SW</t>
        </is>
      </c>
      <c r="F84" s="22" t="inlineStr">
        <is>
          <t>General Manager, ICT — KenGen</t>
        </is>
      </c>
      <c r="G84" s="22" t="inlineStr">
        <is>
          <t>Talk</t>
        </is>
      </c>
      <c r="H84" s="22" t="inlineStr">
        <is>
          <t>ICT, infrastructure critique</t>
        </is>
      </c>
      <c r="I84" s="22" t="inlineStr">
        <is>
          <t>Inconnu, probablement moyen</t>
        </is>
      </c>
      <c r="J84" s="22" t="n"/>
      <c r="K84" s="22" t="inlineStr">
        <is>
          <t>Non trouvé ; https://www.cyberweekafrica.com/</t>
        </is>
      </c>
      <c r="L84" s="22" t="inlineStr">
        <is>
          <t>À qualifier</t>
        </is>
      </c>
      <c r="M84" s="22" t="inlineStr">
        <is>
          <t>Vague2 - vérifié (Cyberweek Africa)</t>
        </is>
      </c>
      <c r="N84" s="31" t="n">
        <v>45</v>
      </c>
      <c r="O84" s="24" t="n">
        <v>60</v>
      </c>
      <c r="P84" s="23" t="n">
        <v>85</v>
      </c>
      <c r="Q84" s="23" t="n">
        <v>80</v>
      </c>
      <c r="R84" s="31" t="n">
        <v>55</v>
      </c>
      <c r="S84" s="31" t="n">
        <v>40</v>
      </c>
      <c r="T84" s="32">
        <f>ROUND((N84*0.25+O84*0.20+P84*0.20+Q84*0.15+R84*0.10+S84*0.10),0)</f>
        <v/>
      </c>
      <c r="U84" s="33">
        <f>IF(T84&gt;=75,"Tier 1 — Prioritaire",IF(T84&gt;=50,"Tier 2 — À cultiver","Tier 3 — Réserve"))</f>
        <v/>
      </c>
      <c r="V84" s="22">
        <f>IF(T84&gt;=75,"J+0 à J+14 — Contact direct personnalisé",IF(T84&gt;=50,"J+30 — Approche CFP ou réseau commun","J+60 — CFP seulement / liste de réserve"))</f>
        <v/>
      </c>
    </row>
    <row r="85" ht="52" customHeight="1">
      <c r="A85" s="27" t="n">
        <v>82</v>
      </c>
      <c r="B85" s="28" t="inlineStr">
        <is>
          <t>Nils Rodday</t>
        </is>
      </c>
      <c r="C85" s="29" t="inlineStr">
        <is>
          <t>Europe</t>
        </is>
      </c>
      <c r="D85" s="29" t="inlineStr">
        <is>
          <t>Allemagne (Munich)</t>
        </is>
      </c>
      <c r="E85" s="29" t="inlineStr">
        <is>
          <t>EN, DE</t>
        </is>
      </c>
      <c r="F85" s="29" t="n"/>
      <c r="G85" s="29" t="inlineStr">
        <is>
          <t>Talk / Workshop</t>
        </is>
      </c>
      <c r="H85" s="29" t="inlineStr">
        <is>
          <t>OT/ICS/SCADA, sécurité des drones/IoT, sécurité réseau (BGP/RPKI)</t>
        </is>
      </c>
      <c r="I85" s="29" t="inlineStr">
        <is>
          <t>Inconnu, probablement prise en charge frais</t>
        </is>
      </c>
      <c r="J85" s="29" t="n"/>
      <c r="K85" s="29" t="inlineStr">
        <is>
          <t>Twitter @nilsrodday / LinkedIn</t>
        </is>
      </c>
      <c r="L85" s="29" t="inlineStr">
        <is>
          <t>À qualifier</t>
        </is>
      </c>
      <c r="M85" s="29" t="inlineStr">
        <is>
          <t>Recherche manuelle / web</t>
        </is>
      </c>
      <c r="N85" s="24" t="n">
        <v>70</v>
      </c>
      <c r="O85" s="23" t="n">
        <v>85</v>
      </c>
      <c r="P85" s="30" t="n">
        <v>20</v>
      </c>
      <c r="Q85" s="31" t="n">
        <v>55</v>
      </c>
      <c r="R85" s="23" t="n">
        <v>80</v>
      </c>
      <c r="S85" s="24" t="n">
        <v>60</v>
      </c>
      <c r="T85" s="32">
        <f>ROUND((N85*0.25+O85*0.20+P85*0.20+Q85*0.15+R85*0.10+S85*0.10),0)</f>
        <v/>
      </c>
      <c r="U85" s="33">
        <f>IF(T85&gt;=75,"Tier 1 — Prioritaire",IF(T85&gt;=50,"Tier 2 — À cultiver","Tier 3 — Réserve"))</f>
        <v/>
      </c>
      <c r="V85" s="29">
        <f>IF(T85&gt;=75,"J+0 à J+14 — Contact direct personnalisé",IF(T85&gt;=50,"J+30 — Approche CFP ou réseau commun","J+60 — CFP seulement / liste de réserve"))</f>
        <v/>
      </c>
    </row>
    <row r="86" ht="52" customHeight="1">
      <c r="A86" s="20" t="n">
        <v>83</v>
      </c>
      <c r="B86" s="21" t="inlineStr">
        <is>
          <t>Dr Renée Burton</t>
        </is>
      </c>
      <c r="C86" s="22" t="inlineStr">
        <is>
          <t>Amérique</t>
        </is>
      </c>
      <c r="D86" s="22" t="inlineStr">
        <is>
          <t>USA</t>
        </is>
      </c>
      <c r="E86" s="22" t="inlineStr">
        <is>
          <t>EN</t>
        </is>
      </c>
      <c r="F86" s="22" t="n"/>
      <c r="G86" s="22" t="inlineStr">
        <is>
          <t>Talk technique</t>
        </is>
      </c>
      <c r="H86" s="22" t="inlineStr">
        <is>
          <t>Threat Intelligence, DNS security</t>
        </is>
      </c>
      <c r="I86" s="22" t="n"/>
      <c r="J86" s="22" t="n"/>
      <c r="K86" s="22" t="n"/>
      <c r="L86" s="22" t="inlineStr">
        <is>
          <t>À qualifier</t>
        </is>
      </c>
      <c r="M86" s="22" t="inlineStr">
        <is>
          <t>Vague1 - vérifié</t>
        </is>
      </c>
      <c r="N86" s="24" t="n">
        <v>75</v>
      </c>
      <c r="O86" s="23" t="n">
        <v>85</v>
      </c>
      <c r="P86" s="30" t="n">
        <v>20</v>
      </c>
      <c r="Q86" s="31" t="n">
        <v>45</v>
      </c>
      <c r="R86" s="24" t="n">
        <v>75</v>
      </c>
      <c r="S86" s="24" t="n">
        <v>70</v>
      </c>
      <c r="T86" s="32">
        <f>ROUND((N86*0.25+O86*0.20+P86*0.20+Q86*0.15+R86*0.10+S86*0.10),0)</f>
        <v/>
      </c>
      <c r="U86" s="33">
        <f>IF(T86&gt;=75,"Tier 1 — Prioritaire",IF(T86&gt;=50,"Tier 2 — À cultiver","Tier 3 — Réserve"))</f>
        <v/>
      </c>
      <c r="V86" s="22">
        <f>IF(T86&gt;=75,"J+0 à J+14 — Contact direct personnalisé",IF(T86&gt;=50,"J+30 — Approche CFP ou réseau commun","J+60 — CFP seulement / liste de réserve"))</f>
        <v/>
      </c>
    </row>
    <row r="87" ht="52" customHeight="1">
      <c r="A87" s="27" t="n">
        <v>84</v>
      </c>
      <c r="B87" s="28" t="inlineStr">
        <is>
          <t>Benta Kamau</t>
        </is>
      </c>
      <c r="C87" s="29" t="inlineStr">
        <is>
          <t>Afrique</t>
        </is>
      </c>
      <c r="D87" s="29" t="inlineStr">
        <is>
          <t>Kenya</t>
        </is>
      </c>
      <c r="E87" s="29" t="inlineStr">
        <is>
          <t>EN, SW</t>
        </is>
      </c>
      <c r="F87" s="29" t="inlineStr">
        <is>
          <t>Legal Officer — Cyberpro Global</t>
        </is>
      </c>
      <c r="G87" s="29" t="inlineStr">
        <is>
          <t>Talk / Panel</t>
        </is>
      </c>
      <c r="H87" s="29" t="inlineStr">
        <is>
          <t>Droit cyber, GRC</t>
        </is>
      </c>
      <c r="I87" s="29" t="inlineStr">
        <is>
          <t>Inconnu, probablement moyen</t>
        </is>
      </c>
      <c r="J87" s="29" t="n"/>
      <c r="K87" s="29" t="inlineStr">
        <is>
          <t>Non trouvé ; https://www.cyberweekafrica.com/</t>
        </is>
      </c>
      <c r="L87" s="29" t="inlineStr">
        <is>
          <t>À qualifier</t>
        </is>
      </c>
      <c r="M87" s="29" t="inlineStr">
        <is>
          <t>Vague2 - vérifié (Cyberweek Africa)</t>
        </is>
      </c>
      <c r="N87" s="31" t="n">
        <v>40</v>
      </c>
      <c r="O87" s="24" t="n">
        <v>60</v>
      </c>
      <c r="P87" s="23" t="n">
        <v>85</v>
      </c>
      <c r="Q87" s="23" t="n">
        <v>80</v>
      </c>
      <c r="R87" s="24" t="n">
        <v>60</v>
      </c>
      <c r="S87" s="31" t="n">
        <v>40</v>
      </c>
      <c r="T87" s="32">
        <f>ROUND((N87*0.25+O87*0.20+P87*0.20+Q87*0.15+R87*0.10+S87*0.10),0)</f>
        <v/>
      </c>
      <c r="U87" s="33">
        <f>IF(T87&gt;=75,"Tier 1 — Prioritaire",IF(T87&gt;=50,"Tier 2 — À cultiver","Tier 3 — Réserve"))</f>
        <v/>
      </c>
      <c r="V87" s="29">
        <f>IF(T87&gt;=75,"J+0 à J+14 — Contact direct personnalisé",IF(T87&gt;=50,"J+30 — Approche CFP ou réseau commun","J+60 — CFP seulement / liste de réserve"))</f>
        <v/>
      </c>
    </row>
    <row r="88" ht="52" customHeight="1">
      <c r="A88" s="20" t="n">
        <v>85</v>
      </c>
      <c r="B88" s="21" t="inlineStr">
        <is>
          <t>Mohamed Ben Amor</t>
        </is>
      </c>
      <c r="C88" s="22" t="inlineStr">
        <is>
          <t>Europe / Afrique du Nord</t>
        </is>
      </c>
      <c r="D88" s="22" t="inlineStr">
        <is>
          <t>Tunisie</t>
        </is>
      </c>
      <c r="E88" s="22" t="inlineStr">
        <is>
          <t>AR, FR, EN</t>
        </is>
      </c>
      <c r="F88" s="22" t="inlineStr">
        <is>
          <t>Secretary General — Arab ICT Organization</t>
        </is>
      </c>
      <c r="G88" s="22" t="inlineStr">
        <is>
          <t>Workshop</t>
        </is>
      </c>
      <c r="H88" s="22" t="inlineStr">
        <is>
          <t>SecOps, cloud security (Microsoft 365/Azure)</t>
        </is>
      </c>
      <c r="I88" s="22" t="inlineStr">
        <is>
          <t>Inconnu, institutionnel</t>
        </is>
      </c>
      <c r="J88" s="22" t="n"/>
      <c r="K88" s="22" t="inlineStr">
        <is>
          <t>Non trouvé ; https://www.aicto.org/</t>
        </is>
      </c>
      <c r="L88" s="22" t="inlineStr">
        <is>
          <t>À qualifier</t>
        </is>
      </c>
      <c r="M88" s="22" t="inlineStr">
        <is>
          <t>Vague2 - vérifié (Cyberweek Africa)</t>
        </is>
      </c>
      <c r="N88" s="30" t="n">
        <v>35</v>
      </c>
      <c r="O88" s="24" t="n">
        <v>75</v>
      </c>
      <c r="P88" s="24" t="n">
        <v>70</v>
      </c>
      <c r="Q88" s="23" t="n">
        <v>80</v>
      </c>
      <c r="R88" s="24" t="n">
        <v>75</v>
      </c>
      <c r="S88" s="31" t="n">
        <v>40</v>
      </c>
      <c r="T88" s="32">
        <f>ROUND((N88*0.25+O88*0.20+P88*0.20+Q88*0.15+R88*0.10+S88*0.10),0)</f>
        <v/>
      </c>
      <c r="U88" s="33">
        <f>IF(T88&gt;=75,"Tier 1 — Prioritaire",IF(T88&gt;=50,"Tier 2 — À cultiver","Tier 3 — Réserve"))</f>
        <v/>
      </c>
      <c r="V88" s="22">
        <f>IF(T88&gt;=75,"J+0 à J+14 — Contact direct personnalisé",IF(T88&gt;=50,"J+30 — Approche CFP ou réseau commun","J+60 — CFP seulement / liste de réserve"))</f>
        <v/>
      </c>
    </row>
    <row r="89" ht="52" customHeight="1">
      <c r="A89" s="27" t="n">
        <v>86</v>
      </c>
      <c r="B89" s="28" t="inlineStr">
        <is>
          <t>David Bizeul</t>
        </is>
      </c>
      <c r="C89" s="29" t="inlineStr">
        <is>
          <t>Europe</t>
        </is>
      </c>
      <c r="D89" s="29" t="inlineStr">
        <is>
          <t>France</t>
        </is>
      </c>
      <c r="E89" s="29" t="inlineStr">
        <is>
          <t>FR, EN</t>
        </is>
      </c>
      <c r="F89" s="29" t="n"/>
      <c r="G89" s="29" t="inlineStr">
        <is>
          <t>Keynote / Talk technique</t>
        </is>
      </c>
      <c r="H89" s="29" t="inlineStr">
        <is>
          <t>Threat Intelligence, fondation CSIRT, cybermenaces</t>
        </is>
      </c>
      <c r="I89" s="29" t="inlineStr">
        <is>
          <t>Inconnu, probablement payant</t>
        </is>
      </c>
      <c r="J89" s="29" t="n"/>
      <c r="K89" s="29" t="inlineStr">
        <is>
          <t>Via Sekoia.io / LinkedIn</t>
        </is>
      </c>
      <c r="L89" s="29" t="inlineStr">
        <is>
          <t>À qualifier</t>
        </is>
      </c>
      <c r="M89" s="29" t="inlineStr">
        <is>
          <t>Recherche manuelle / web</t>
        </is>
      </c>
      <c r="N89" s="24" t="n">
        <v>75</v>
      </c>
      <c r="O89" s="23" t="n">
        <v>85</v>
      </c>
      <c r="P89" s="30" t="n">
        <v>20</v>
      </c>
      <c r="Q89" s="31" t="n">
        <v>45</v>
      </c>
      <c r="R89" s="24" t="n">
        <v>75</v>
      </c>
      <c r="S89" s="24" t="n">
        <v>65</v>
      </c>
      <c r="T89" s="32">
        <f>ROUND((N89*0.25+O89*0.20+P89*0.20+Q89*0.15+R89*0.10+S89*0.10),0)</f>
        <v/>
      </c>
      <c r="U89" s="33">
        <f>IF(T89&gt;=75,"Tier 1 — Prioritaire",IF(T89&gt;=50,"Tier 2 — À cultiver","Tier 3 — Réserve"))</f>
        <v/>
      </c>
      <c r="V89" s="29">
        <f>IF(T89&gt;=75,"J+0 à J+14 — Contact direct personnalisé",IF(T89&gt;=50,"J+30 — Approche CFP ou réseau commun","J+60 — CFP seulement / liste de réserve"))</f>
        <v/>
      </c>
    </row>
    <row r="90" ht="52" customHeight="1">
      <c r="A90" s="20" t="n">
        <v>87</v>
      </c>
      <c r="B90" s="21" t="inlineStr">
        <is>
          <t>Sanoop Thomas</t>
        </is>
      </c>
      <c r="C90" s="22" t="inlineStr">
        <is>
          <t>Asie</t>
        </is>
      </c>
      <c r="D90" s="22" t="inlineStr">
        <is>
          <t>Singapour/Inde (zone Asie)</t>
        </is>
      </c>
      <c r="E90" s="22" t="inlineStr">
        <is>
          <t>EN</t>
        </is>
      </c>
      <c r="F90" s="22" t="n"/>
      <c r="G90" s="22" t="inlineStr">
        <is>
          <t>Talk technique</t>
        </is>
      </c>
      <c r="H90" s="22" t="inlineStr">
        <is>
          <t>Pentest, offensive security, outils open source</t>
        </is>
      </c>
      <c r="I90" s="22" t="inlineStr">
        <is>
          <t>Probablement modéré</t>
        </is>
      </c>
      <c r="J90" s="22" t="n"/>
      <c r="K90" s="22" t="inlineStr">
        <is>
          <t>Via Black Hat Asia speaker profile</t>
        </is>
      </c>
      <c r="L90" s="22" t="inlineStr">
        <is>
          <t>À qualifier</t>
        </is>
      </c>
      <c r="M90" s="22" t="inlineStr">
        <is>
          <t>Recherche manuelle / web</t>
        </is>
      </c>
      <c r="N90" s="24" t="n">
        <v>65</v>
      </c>
      <c r="O90" s="23" t="n">
        <v>80</v>
      </c>
      <c r="P90" s="30" t="n">
        <v>25</v>
      </c>
      <c r="Q90" s="24" t="n">
        <v>60</v>
      </c>
      <c r="R90" s="23" t="n">
        <v>80</v>
      </c>
      <c r="S90" s="24" t="n">
        <v>60</v>
      </c>
      <c r="T90" s="32">
        <f>ROUND((N90*0.25+O90*0.20+P90*0.20+Q90*0.15+R90*0.10+S90*0.10),0)</f>
        <v/>
      </c>
      <c r="U90" s="33">
        <f>IF(T90&gt;=75,"Tier 1 — Prioritaire",IF(T90&gt;=50,"Tier 2 — À cultiver","Tier 3 — Réserve"))</f>
        <v/>
      </c>
      <c r="V90" s="22">
        <f>IF(T90&gt;=75,"J+0 à J+14 — Contact direct personnalisé",IF(T90&gt;=50,"J+30 — Approche CFP ou réseau commun","J+60 — CFP seulement / liste de réserve"))</f>
        <v/>
      </c>
    </row>
    <row r="91" ht="52" customHeight="1">
      <c r="A91" s="27" t="n">
        <v>88</v>
      </c>
      <c r="B91" s="28" t="inlineStr">
        <is>
          <t>Hassan Khan</t>
        </is>
      </c>
      <c r="C91" s="29" t="inlineStr">
        <is>
          <t>Asie</t>
        </is>
      </c>
      <c r="D91" s="29" t="inlineStr">
        <is>
          <t>Pakistan/MENA</t>
        </is>
      </c>
      <c r="E91" s="29" t="inlineStr">
        <is>
          <t>EN, UR</t>
        </is>
      </c>
      <c r="F91" s="29" t="n"/>
      <c r="G91" s="29" t="inlineStr">
        <is>
          <t>Talk technique</t>
        </is>
      </c>
      <c r="H91" s="29" t="inlineStr">
        <is>
          <t>Pentest, bug bounty, sécurité Ruby</t>
        </is>
      </c>
      <c r="I91" s="29" t="inlineStr">
        <is>
          <t>Inconnu, probablement modéré</t>
        </is>
      </c>
      <c r="J91" s="29" t="n"/>
      <c r="K91" s="29" t="inlineStr">
        <is>
          <t>Via Cyber Security Asia 2026 speakers</t>
        </is>
      </c>
      <c r="L91" s="29" t="inlineStr">
        <is>
          <t>À qualifier</t>
        </is>
      </c>
      <c r="M91" s="29" t="inlineStr">
        <is>
          <t>Recherche manuelle / web</t>
        </is>
      </c>
      <c r="N91" s="24" t="n">
        <v>65</v>
      </c>
      <c r="O91" s="23" t="n">
        <v>80</v>
      </c>
      <c r="P91" s="30" t="n">
        <v>30</v>
      </c>
      <c r="Q91" s="31" t="n">
        <v>55</v>
      </c>
      <c r="R91" s="24" t="n">
        <v>75</v>
      </c>
      <c r="S91" s="24" t="n">
        <v>60</v>
      </c>
      <c r="T91" s="32">
        <f>ROUND((N91*0.25+O91*0.20+P91*0.20+Q91*0.15+R91*0.10+S91*0.10),0)</f>
        <v/>
      </c>
      <c r="U91" s="33">
        <f>IF(T91&gt;=75,"Tier 1 — Prioritaire",IF(T91&gt;=50,"Tier 2 — À cultiver","Tier 3 — Réserve"))</f>
        <v/>
      </c>
      <c r="V91" s="29">
        <f>IF(T91&gt;=75,"J+0 à J+14 — Contact direct personnalisé",IF(T91&gt;=50,"J+30 — Approche CFP ou réseau commun","J+60 — CFP seulement / liste de réserve"))</f>
        <v/>
      </c>
    </row>
    <row r="92" ht="52" customHeight="1">
      <c r="A92" s="20" t="n">
        <v>89</v>
      </c>
      <c r="B92" s="21" t="inlineStr">
        <is>
          <t>Washington Okoth</t>
        </is>
      </c>
      <c r="C92" s="22" t="inlineStr">
        <is>
          <t>Afrique</t>
        </is>
      </c>
      <c r="D92" s="22" t="inlineStr">
        <is>
          <t>Kenya</t>
        </is>
      </c>
      <c r="E92" s="22" t="inlineStr">
        <is>
          <t>EN, SW</t>
        </is>
      </c>
      <c r="F92" s="22" t="inlineStr">
        <is>
          <t>Secretary ICT Infrastructure — MICDE</t>
        </is>
      </c>
      <c r="G92" s="22" t="inlineStr">
        <is>
          <t>Talk</t>
        </is>
      </c>
      <c r="H92" s="22" t="inlineStr">
        <is>
          <t>ICT infrastructure</t>
        </is>
      </c>
      <c r="I92" s="22" t="inlineStr">
        <is>
          <t>Inconnu, institutionnel</t>
        </is>
      </c>
      <c r="J92" s="22" t="n"/>
      <c r="K92" s="22" t="inlineStr">
        <is>
          <t>Non trouvé ; https://www.cyberweekafrica.com/</t>
        </is>
      </c>
      <c r="L92" s="22" t="inlineStr">
        <is>
          <t>À qualifier</t>
        </is>
      </c>
      <c r="M92" s="22" t="inlineStr">
        <is>
          <t>Vague2 - vérifié (Cyberweek Africa)</t>
        </is>
      </c>
      <c r="N92" s="31" t="n">
        <v>40</v>
      </c>
      <c r="O92" s="24" t="n">
        <v>60</v>
      </c>
      <c r="P92" s="23" t="n">
        <v>85</v>
      </c>
      <c r="Q92" s="23" t="n">
        <v>80</v>
      </c>
      <c r="R92" s="31" t="n">
        <v>55</v>
      </c>
      <c r="S92" s="31" t="n">
        <v>40</v>
      </c>
      <c r="T92" s="32">
        <f>ROUND((N92*0.25+O92*0.20+P92*0.20+Q92*0.15+R92*0.10+S92*0.10),0)</f>
        <v/>
      </c>
      <c r="U92" s="33">
        <f>IF(T92&gt;=75,"Tier 1 — Prioritaire",IF(T92&gt;=50,"Tier 2 — À cultiver","Tier 3 — Réserve"))</f>
        <v/>
      </c>
      <c r="V92" s="22">
        <f>IF(T92&gt;=75,"J+0 à J+14 — Contact direct personnalisé",IF(T92&gt;=50,"J+30 — Approche CFP ou réseau commun","J+60 — CFP seulement / liste de réserve"))</f>
        <v/>
      </c>
    </row>
    <row r="93" ht="52" customHeight="1">
      <c r="A93" s="27" t="n">
        <v>90</v>
      </c>
      <c r="B93" s="28" t="inlineStr">
        <is>
          <t>Wagude Lui</t>
        </is>
      </c>
      <c r="C93" s="29" t="inlineStr">
        <is>
          <t>Afrique</t>
        </is>
      </c>
      <c r="D93" s="29" t="inlineStr">
        <is>
          <t>Kenya</t>
        </is>
      </c>
      <c r="E93" s="29" t="inlineStr">
        <is>
          <t>EN, SW</t>
        </is>
      </c>
      <c r="F93" s="29" t="inlineStr">
        <is>
          <t>Founder — Edigicom-Cyberpro</t>
        </is>
      </c>
      <c r="G93" s="29" t="inlineStr">
        <is>
          <t>Talk</t>
        </is>
      </c>
      <c r="H93" s="29" t="inlineStr">
        <is>
          <t>Entrepreneuriat cyber</t>
        </is>
      </c>
      <c r="I93" s="29" t="inlineStr">
        <is>
          <t>Inconnu, probablement moyen</t>
        </is>
      </c>
      <c r="J93" s="29" t="n"/>
      <c r="K93" s="29" t="inlineStr">
        <is>
          <t>Non trouvé ; https://www.cyberweekafrica.com/</t>
        </is>
      </c>
      <c r="L93" s="29" t="inlineStr">
        <is>
          <t>À qualifier</t>
        </is>
      </c>
      <c r="M93" s="29" t="inlineStr">
        <is>
          <t>Vague2 - vérifié (Cyberweek Africa)</t>
        </is>
      </c>
      <c r="N93" s="31" t="n">
        <v>40</v>
      </c>
      <c r="O93" s="24" t="n">
        <v>60</v>
      </c>
      <c r="P93" s="23" t="n">
        <v>85</v>
      </c>
      <c r="Q93" s="23" t="n">
        <v>80</v>
      </c>
      <c r="R93" s="31" t="n">
        <v>55</v>
      </c>
      <c r="S93" s="31" t="n">
        <v>40</v>
      </c>
      <c r="T93" s="32">
        <f>ROUND((N93*0.25+O93*0.20+P93*0.20+Q93*0.15+R93*0.10+S93*0.10),0)</f>
        <v/>
      </c>
      <c r="U93" s="33">
        <f>IF(T93&gt;=75,"Tier 1 — Prioritaire",IF(T93&gt;=50,"Tier 2 — À cultiver","Tier 3 — Réserve"))</f>
        <v/>
      </c>
      <c r="V93" s="29">
        <f>IF(T93&gt;=75,"J+0 à J+14 — Contact direct personnalisé",IF(T93&gt;=50,"J+30 — Approche CFP ou réseau commun","J+60 — CFP seulement / liste de réserve"))</f>
        <v/>
      </c>
    </row>
    <row r="94" ht="52" customHeight="1">
      <c r="A94" s="20" t="n">
        <v>91</v>
      </c>
      <c r="B94" s="21" t="inlineStr">
        <is>
          <t>Pascal Fortin</t>
        </is>
      </c>
      <c r="C94" s="22" t="inlineStr">
        <is>
          <t>Canada</t>
        </is>
      </c>
      <c r="D94" s="22" t="inlineStr">
        <is>
          <t>Canada (Montréal, QC)</t>
        </is>
      </c>
      <c r="E94" s="22" t="inlineStr">
        <is>
          <t>FR, EN</t>
        </is>
      </c>
      <c r="F94" s="22" t="n"/>
      <c r="G94" s="22" t="inlineStr">
        <is>
          <t>Panel / Keynote institutionnel</t>
        </is>
      </c>
      <c r="H94" s="22" t="inlineStr">
        <is>
          <t>Écosystème cyber canadien, gouvernance</t>
        </is>
      </c>
      <c r="I94" s="22" t="inlineStr">
        <is>
          <t>Inconnu, probablement gratuit</t>
        </is>
      </c>
      <c r="J94" s="22" t="n"/>
      <c r="K94" s="22" t="inlineStr">
        <is>
          <t>cybereco.ca (info@cybereco.ca)</t>
        </is>
      </c>
      <c r="L94" s="22" t="inlineStr">
        <is>
          <t>À qualifier</t>
        </is>
      </c>
      <c r="M94" s="22" t="inlineStr">
        <is>
          <t>Recherche manuelle / web</t>
        </is>
      </c>
      <c r="N94" s="24" t="n">
        <v>65</v>
      </c>
      <c r="O94" s="24" t="n">
        <v>70</v>
      </c>
      <c r="P94" s="30" t="n">
        <v>20</v>
      </c>
      <c r="Q94" s="23" t="n">
        <v>80</v>
      </c>
      <c r="R94" s="24" t="n">
        <v>65</v>
      </c>
      <c r="S94" s="24" t="n">
        <v>60</v>
      </c>
      <c r="T94" s="32">
        <f>ROUND((N94*0.25+O94*0.20+P94*0.20+Q94*0.15+R94*0.10+S94*0.10),0)</f>
        <v/>
      </c>
      <c r="U94" s="33">
        <f>IF(T94&gt;=75,"Tier 1 — Prioritaire",IF(T94&gt;=50,"Tier 2 — À cultiver","Tier 3 — Réserve"))</f>
        <v/>
      </c>
      <c r="V94" s="22">
        <f>IF(T94&gt;=75,"J+0 à J+14 — Contact direct personnalisé",IF(T94&gt;=50,"J+30 — Approche CFP ou réseau commun","J+60 — CFP seulement / liste de réserve"))</f>
        <v/>
      </c>
    </row>
    <row r="95" ht="52" customHeight="1">
      <c r="A95" s="27" t="n">
        <v>92</v>
      </c>
      <c r="B95" s="28" t="inlineStr">
        <is>
          <t>Ikhtear Bunyan</t>
        </is>
      </c>
      <c r="C95" s="29" t="inlineStr">
        <is>
          <t>Canada</t>
        </is>
      </c>
      <c r="D95" s="29" t="inlineStr">
        <is>
          <t>Canada (Montréal, QC — IBM)</t>
        </is>
      </c>
      <c r="E95" s="29" t="inlineStr">
        <is>
          <t>FR, EN</t>
        </is>
      </c>
      <c r="F95" s="29" t="n"/>
      <c r="G95" s="29" t="inlineStr">
        <is>
          <t>Talk technique</t>
        </is>
      </c>
      <c r="H95" s="29" t="inlineStr">
        <is>
          <t>IA agentique, souveraineté numérique</t>
        </is>
      </c>
      <c r="I95" s="29" t="inlineStr">
        <is>
          <t>Probablement gratuit</t>
        </is>
      </c>
      <c r="J95" s="29" t="n"/>
      <c r="K95" s="29" t="inlineStr">
        <is>
          <t>Via IBM Canada / Cybereco</t>
        </is>
      </c>
      <c r="L95" s="29" t="inlineStr">
        <is>
          <t>À qualifier</t>
        </is>
      </c>
      <c r="M95" s="29" t="inlineStr">
        <is>
          <t>Recherche manuelle / web</t>
        </is>
      </c>
      <c r="N95" s="24" t="n">
        <v>60</v>
      </c>
      <c r="O95" s="23" t="n">
        <v>80</v>
      </c>
      <c r="P95" s="30" t="n">
        <v>20</v>
      </c>
      <c r="Q95" s="24" t="n">
        <v>75</v>
      </c>
      <c r="R95" s="24" t="n">
        <v>75</v>
      </c>
      <c r="S95" s="31" t="n">
        <v>50</v>
      </c>
      <c r="T95" s="32">
        <f>ROUND((N95*0.25+O95*0.20+P95*0.20+Q95*0.15+R95*0.10+S95*0.10),0)</f>
        <v/>
      </c>
      <c r="U95" s="33">
        <f>IF(T95&gt;=75,"Tier 1 — Prioritaire",IF(T95&gt;=50,"Tier 2 — À cultiver","Tier 3 — Réserve"))</f>
        <v/>
      </c>
      <c r="V95" s="29">
        <f>IF(T95&gt;=75,"J+0 à J+14 — Contact direct personnalisé",IF(T95&gt;=50,"J+30 — Approche CFP ou réseau commun","J+60 — CFP seulement / liste de réserve"))</f>
        <v/>
      </c>
    </row>
    <row r="96" ht="52" customHeight="1">
      <c r="A96" s="20" t="n">
        <v>93</v>
      </c>
      <c r="B96" s="21" t="inlineStr">
        <is>
          <t>Benoit Blas</t>
        </is>
      </c>
      <c r="C96" s="22" t="inlineStr">
        <is>
          <t>Canada</t>
        </is>
      </c>
      <c r="D96" s="22" t="inlineStr">
        <is>
          <t>Canada (HashiCorp)</t>
        </is>
      </c>
      <c r="E96" s="22" t="inlineStr">
        <is>
          <t>FR, EN</t>
        </is>
      </c>
      <c r="F96" s="22" t="n"/>
      <c r="G96" s="22" t="inlineStr">
        <is>
          <t>Talk technique</t>
        </is>
      </c>
      <c r="H96" s="22" t="inlineStr">
        <is>
          <t>Sécurité IA agentique, zero trust</t>
        </is>
      </c>
      <c r="I96" s="22" t="inlineStr">
        <is>
          <t>Probablement gratuit</t>
        </is>
      </c>
      <c r="J96" s="22" t="n"/>
      <c r="K96" s="22" t="inlineStr">
        <is>
          <t>Via HashiCorp / Cybereco</t>
        </is>
      </c>
      <c r="L96" s="22" t="inlineStr">
        <is>
          <t>À qualifier</t>
        </is>
      </c>
      <c r="M96" s="22" t="inlineStr">
        <is>
          <t>Recherche manuelle / web</t>
        </is>
      </c>
      <c r="N96" s="24" t="n">
        <v>60</v>
      </c>
      <c r="O96" s="23" t="n">
        <v>80</v>
      </c>
      <c r="P96" s="30" t="n">
        <v>20</v>
      </c>
      <c r="Q96" s="24" t="n">
        <v>75</v>
      </c>
      <c r="R96" s="24" t="n">
        <v>75</v>
      </c>
      <c r="S96" s="31" t="n">
        <v>50</v>
      </c>
      <c r="T96" s="32">
        <f>ROUND((N96*0.25+O96*0.20+P96*0.20+Q96*0.15+R96*0.10+S96*0.10),0)</f>
        <v/>
      </c>
      <c r="U96" s="33">
        <f>IF(T96&gt;=75,"Tier 1 — Prioritaire",IF(T96&gt;=50,"Tier 2 — À cultiver","Tier 3 — Réserve"))</f>
        <v/>
      </c>
      <c r="V96" s="22">
        <f>IF(T96&gt;=75,"J+0 à J+14 — Contact direct personnalisé",IF(T96&gt;=50,"J+30 — Approche CFP ou réseau commun","J+60 — CFP seulement / liste de réserve"))</f>
        <v/>
      </c>
    </row>
    <row r="97" ht="52" customHeight="1">
      <c r="A97" s="27" t="n">
        <v>94</v>
      </c>
      <c r="B97" s="28" t="inlineStr">
        <is>
          <t>Vitor Ventura</t>
        </is>
      </c>
      <c r="C97" s="29" t="inlineStr">
        <is>
          <t>Europe</t>
        </is>
      </c>
      <c r="D97" s="29" t="inlineStr">
        <is>
          <t>Portugal</t>
        </is>
      </c>
      <c r="E97" s="29" t="inlineStr">
        <is>
          <t>PT, EN</t>
        </is>
      </c>
      <c r="F97" s="29" t="n"/>
      <c r="G97" s="29" t="inlineStr">
        <is>
          <t>Talk technique</t>
        </is>
      </c>
      <c r="H97" s="29" t="inlineStr">
        <is>
          <t>Threat Intelligence, recherche menaces</t>
        </is>
      </c>
      <c r="I97" s="29" t="inlineStr">
        <is>
          <t>Payant probable (Cisco)</t>
        </is>
      </c>
      <c r="J97" s="29" t="n"/>
      <c r="K97" s="29" t="inlineStr">
        <is>
          <t>Via AI Security &amp; Privacy Conference Portugal</t>
        </is>
      </c>
      <c r="L97" s="29" t="inlineStr">
        <is>
          <t>À qualifier</t>
        </is>
      </c>
      <c r="M97" s="29" t="inlineStr">
        <is>
          <t>Recherche manuelle / web</t>
        </is>
      </c>
      <c r="N97" s="24" t="n">
        <v>70</v>
      </c>
      <c r="O97" s="23" t="n">
        <v>85</v>
      </c>
      <c r="P97" s="30" t="n">
        <v>20</v>
      </c>
      <c r="Q97" s="31" t="n">
        <v>45</v>
      </c>
      <c r="R97" s="24" t="n">
        <v>75</v>
      </c>
      <c r="S97" s="24" t="n">
        <v>65</v>
      </c>
      <c r="T97" s="32">
        <f>ROUND((N97*0.25+O97*0.20+P97*0.20+Q97*0.15+R97*0.10+S97*0.10),0)</f>
        <v/>
      </c>
      <c r="U97" s="33">
        <f>IF(T97&gt;=75,"Tier 1 — Prioritaire",IF(T97&gt;=50,"Tier 2 — À cultiver","Tier 3 — Réserve"))</f>
        <v/>
      </c>
      <c r="V97" s="29">
        <f>IF(T97&gt;=75,"J+0 à J+14 — Contact direct personnalisé",IF(T97&gt;=50,"J+30 — Approche CFP ou réseau commun","J+60 — CFP seulement / liste de réserve"))</f>
        <v/>
      </c>
    </row>
    <row r="98" ht="52" customHeight="1">
      <c r="A98" s="20" t="n">
        <v>95</v>
      </c>
      <c r="B98" s="21" t="inlineStr">
        <is>
          <t>Sacha Faust</t>
        </is>
      </c>
      <c r="C98" s="22" t="inlineStr">
        <is>
          <t>Amérique du Nord</t>
        </is>
      </c>
      <c r="D98" s="22" t="inlineStr">
        <is>
          <t>USA (Seattle)</t>
        </is>
      </c>
      <c r="E98" s="22" t="inlineStr">
        <is>
          <t>EN, FR</t>
        </is>
      </c>
      <c r="F98" s="22" t="n"/>
      <c r="G98" s="22" t="inlineStr">
        <is>
          <t>Talk / Panel</t>
        </is>
      </c>
      <c r="H98" s="22" t="inlineStr">
        <is>
          <t>Cloud Security, IA en cybersécurité (GenAI security)</t>
        </is>
      </c>
      <c r="I98" s="22" t="inlineStr">
        <is>
          <t>Inconnu, probablement payant (poste exécutif)</t>
        </is>
      </c>
      <c r="J98" s="22" t="n"/>
      <c r="K98" s="22" t="inlineStr">
        <is>
          <t>linkedin.com/in/sachafaust</t>
        </is>
      </c>
      <c r="L98" s="22" t="inlineStr">
        <is>
          <t>À qualifier</t>
        </is>
      </c>
      <c r="M98" s="22" t="inlineStr">
        <is>
          <t>Recherche manuelle / web</t>
        </is>
      </c>
      <c r="N98" s="24" t="n">
        <v>70</v>
      </c>
      <c r="O98" s="23" t="n">
        <v>85</v>
      </c>
      <c r="P98" s="30" t="n">
        <v>20</v>
      </c>
      <c r="Q98" s="31" t="n">
        <v>45</v>
      </c>
      <c r="R98" s="24" t="n">
        <v>75</v>
      </c>
      <c r="S98" s="24" t="n">
        <v>60</v>
      </c>
      <c r="T98" s="32">
        <f>ROUND((N98*0.25+O98*0.20+P98*0.20+Q98*0.15+R98*0.10+S98*0.10),0)</f>
        <v/>
      </c>
      <c r="U98" s="33">
        <f>IF(T98&gt;=75,"Tier 1 — Prioritaire",IF(T98&gt;=50,"Tier 2 — À cultiver","Tier 3 — Réserve"))</f>
        <v/>
      </c>
      <c r="V98" s="22">
        <f>IF(T98&gt;=75,"J+0 à J+14 — Contact direct personnalisé",IF(T98&gt;=50,"J+30 — Approche CFP ou réseau commun","J+60 — CFP seulement / liste de réserve"))</f>
        <v/>
      </c>
    </row>
    <row r="99" ht="52" customHeight="1">
      <c r="A99" s="27" t="n">
        <v>96</v>
      </c>
      <c r="B99" s="28" t="inlineStr">
        <is>
          <t>Dr Fatmah Baothman</t>
        </is>
      </c>
      <c r="C99" s="29" t="inlineStr">
        <is>
          <t>Moyen-Orient</t>
        </is>
      </c>
      <c r="D99" s="29" t="inlineStr">
        <is>
          <t>Arabie Saoudite (Jeddah)</t>
        </is>
      </c>
      <c r="E99" s="29" t="inlineStr">
        <is>
          <t>EN, AR</t>
        </is>
      </c>
      <c r="F99" s="29" t="n"/>
      <c r="G99" s="29" t="inlineStr">
        <is>
          <t>Keynote / Panel</t>
        </is>
      </c>
      <c r="H99" s="29" t="inlineStr">
        <is>
          <t>IA en cybersécurité, Éthique de l'IA</t>
        </is>
      </c>
      <c r="I99" s="29" t="inlineStr">
        <is>
          <t>Inconnu, probablement cachet bureau speakers</t>
        </is>
      </c>
      <c r="J99" s="29" t="n"/>
      <c r="K99" s="29" t="inlineStr">
        <is>
          <t>Via King Abdulaziz University / LinkedIn</t>
        </is>
      </c>
      <c r="L99" s="29" t="inlineStr">
        <is>
          <t>À qualifier</t>
        </is>
      </c>
      <c r="M99" s="29" t="inlineStr">
        <is>
          <t>Recherche manuelle / web</t>
        </is>
      </c>
      <c r="N99" s="24" t="n">
        <v>70</v>
      </c>
      <c r="O99" s="24" t="n">
        <v>65</v>
      </c>
      <c r="P99" s="30" t="n">
        <v>30</v>
      </c>
      <c r="Q99" s="24" t="n">
        <v>65</v>
      </c>
      <c r="R99" s="24" t="n">
        <v>65</v>
      </c>
      <c r="S99" s="24" t="n">
        <v>60</v>
      </c>
      <c r="T99" s="32">
        <f>ROUND((N99*0.25+O99*0.20+P99*0.20+Q99*0.15+R99*0.10+S99*0.10),0)</f>
        <v/>
      </c>
      <c r="U99" s="33">
        <f>IF(T99&gt;=75,"Tier 1 — Prioritaire",IF(T99&gt;=50,"Tier 2 — À cultiver","Tier 3 — Réserve"))</f>
        <v/>
      </c>
      <c r="V99" s="29">
        <f>IF(T99&gt;=75,"J+0 à J+14 — Contact direct personnalisé",IF(T99&gt;=50,"J+30 — Approche CFP ou réseau commun","J+60 — CFP seulement / liste de réserve"))</f>
        <v/>
      </c>
    </row>
    <row r="100" ht="52" customHeight="1">
      <c r="A100" s="20" t="n">
        <v>97</v>
      </c>
      <c r="B100" s="21" t="inlineStr">
        <is>
          <t>Ronald Kirui</t>
        </is>
      </c>
      <c r="C100" s="22" t="inlineStr">
        <is>
          <t>Afrique</t>
        </is>
      </c>
      <c r="D100" s="22" t="inlineStr">
        <is>
          <t>Kenya</t>
        </is>
      </c>
      <c r="E100" s="22" t="inlineStr">
        <is>
          <t>EN, SW</t>
        </is>
      </c>
      <c r="F100" s="22" t="inlineStr">
        <is>
          <t>Managing Director — Magal Security Systems Limited</t>
        </is>
      </c>
      <c r="G100" s="22" t="inlineStr">
        <is>
          <t>Talk</t>
        </is>
      </c>
      <c r="H100" s="22" t="inlineStr">
        <is>
          <t>Sécurité physique/électronique</t>
        </is>
      </c>
      <c r="I100" s="22" t="inlineStr">
        <is>
          <t>Inconnu, probablement moyen</t>
        </is>
      </c>
      <c r="J100" s="22" t="n"/>
      <c r="K100" s="22" t="inlineStr">
        <is>
          <t>Non trouvé ; https://www.cyberweekafrica.com/</t>
        </is>
      </c>
      <c r="L100" s="22" t="inlineStr">
        <is>
          <t>À qualifier</t>
        </is>
      </c>
      <c r="M100" s="22" t="inlineStr">
        <is>
          <t>Vague2 - vérifié (Cyberweek Africa)</t>
        </is>
      </c>
      <c r="N100" s="31" t="n">
        <v>40</v>
      </c>
      <c r="O100" s="31" t="n">
        <v>55</v>
      </c>
      <c r="P100" s="23" t="n">
        <v>85</v>
      </c>
      <c r="Q100" s="24" t="n">
        <v>75</v>
      </c>
      <c r="R100" s="31" t="n">
        <v>55</v>
      </c>
      <c r="S100" s="31" t="n">
        <v>40</v>
      </c>
      <c r="T100" s="32">
        <f>ROUND((N100*0.25+O100*0.20+P100*0.20+Q100*0.15+R100*0.10+S100*0.10),0)</f>
        <v/>
      </c>
      <c r="U100" s="33">
        <f>IF(T100&gt;=75,"Tier 1 — Prioritaire",IF(T100&gt;=50,"Tier 2 — À cultiver","Tier 3 — Réserve"))</f>
        <v/>
      </c>
      <c r="V100" s="22">
        <f>IF(T100&gt;=75,"J+0 à J+14 — Contact direct personnalisé",IF(T100&gt;=50,"J+30 — Approche CFP ou réseau commun","J+60 — CFP seulement / liste de réserve"))</f>
        <v/>
      </c>
    </row>
    <row r="101" ht="52" customHeight="1">
      <c r="A101" s="27" t="n">
        <v>98</v>
      </c>
      <c r="B101" s="28" t="inlineStr">
        <is>
          <t>Dr Syarifah Bahiyah Rahayu</t>
        </is>
      </c>
      <c r="C101" s="29" t="inlineStr">
        <is>
          <t>Asie</t>
        </is>
      </c>
      <c r="D101" s="29" t="inlineStr">
        <is>
          <t>Malaisie</t>
        </is>
      </c>
      <c r="E101" s="29" t="inlineStr">
        <is>
          <t>EN, MS</t>
        </is>
      </c>
      <c r="F101" s="29" t="n"/>
      <c r="G101" s="29" t="inlineStr">
        <is>
          <t>Talk académique / Panel</t>
        </is>
      </c>
      <c r="H101" s="29" t="inlineStr">
        <is>
          <t>Cyber défense nationale, recherche académique</t>
        </is>
      </c>
      <c r="I101" s="29" t="inlineStr">
        <is>
          <t>Probablement gratuit</t>
        </is>
      </c>
      <c r="J101" s="29" t="n"/>
      <c r="K101" s="29" t="inlineStr">
        <is>
          <t>Via Cyber Security Asia 2026 speakers</t>
        </is>
      </c>
      <c r="L101" s="29" t="inlineStr">
        <is>
          <t>À qualifier</t>
        </is>
      </c>
      <c r="M101" s="29" t="inlineStr">
        <is>
          <t>Recherche manuelle / web</t>
        </is>
      </c>
      <c r="N101" s="24" t="n">
        <v>65</v>
      </c>
      <c r="O101" s="24" t="n">
        <v>75</v>
      </c>
      <c r="P101" s="30" t="n">
        <v>20</v>
      </c>
      <c r="Q101" s="24" t="n">
        <v>75</v>
      </c>
      <c r="R101" s="24" t="n">
        <v>70</v>
      </c>
      <c r="S101" s="31" t="n">
        <v>50</v>
      </c>
      <c r="T101" s="32">
        <f>ROUND((N101*0.25+O101*0.20+P101*0.20+Q101*0.15+R101*0.10+S101*0.10),0)</f>
        <v/>
      </c>
      <c r="U101" s="33">
        <f>IF(T101&gt;=75,"Tier 1 — Prioritaire",IF(T101&gt;=50,"Tier 2 — À cultiver","Tier 3 — Réserve"))</f>
        <v/>
      </c>
      <c r="V101" s="29">
        <f>IF(T101&gt;=75,"J+0 à J+14 — Contact direct personnalisé",IF(T101&gt;=50,"J+30 — Approche CFP ou réseau commun","J+60 — CFP seulement / liste de réserve"))</f>
        <v/>
      </c>
    </row>
    <row r="102" ht="52" customHeight="1">
      <c r="A102" s="20" t="n">
        <v>99</v>
      </c>
      <c r="B102" s="21" t="inlineStr">
        <is>
          <t>Mary Aiken, PhD</t>
        </is>
      </c>
      <c r="C102" s="22" t="inlineStr">
        <is>
          <t>International</t>
        </is>
      </c>
      <c r="D102" s="22" t="inlineStr">
        <is>
          <t>USA (Washington D.C.) / Irlande (origine)</t>
        </is>
      </c>
      <c r="E102" s="22" t="inlineStr">
        <is>
          <t>EN</t>
        </is>
      </c>
      <c r="F102" s="22" t="n"/>
      <c r="G102" s="22" t="inlineStr">
        <is>
          <t>Keynote</t>
        </is>
      </c>
      <c r="H102" s="22" t="inlineStr">
        <is>
          <t>Sensibilisation / Culture sécu, IA &amp; comportement humain, Menaces émergentes</t>
        </is>
      </c>
      <c r="I102" s="22" t="inlineStr">
        <is>
          <t>Payant — cachet élevé (bureau de speakers officiel, Champions Speakers/Connect Speakers Bureau)</t>
        </is>
      </c>
      <c r="J102" s="22" t="n"/>
      <c r="K102" s="22" t="inlineStr">
        <is>
          <t>Via Paladin Capital Group, Champions Speakers Agency, connectspeakersbureau.com</t>
        </is>
      </c>
      <c r="L102" s="22" t="inlineStr">
        <is>
          <t>À qualifier</t>
        </is>
      </c>
      <c r="M102" s="22" t="inlineStr">
        <is>
          <t>Recherche manuelle / web</t>
        </is>
      </c>
      <c r="N102" s="23" t="n">
        <v>90</v>
      </c>
      <c r="O102" s="24" t="n">
        <v>70</v>
      </c>
      <c r="P102" s="30" t="n">
        <v>15</v>
      </c>
      <c r="Q102" s="30" t="n">
        <v>20</v>
      </c>
      <c r="R102" s="24" t="n">
        <v>75</v>
      </c>
      <c r="S102" s="23" t="n">
        <v>85</v>
      </c>
      <c r="T102" s="32">
        <f>ROUND((N102*0.25+O102*0.20+P102*0.20+Q102*0.15+R102*0.10+S102*0.10),0)</f>
        <v/>
      </c>
      <c r="U102" s="33">
        <f>IF(T102&gt;=75,"Tier 1 — Prioritaire",IF(T102&gt;=50,"Tier 2 — À cultiver","Tier 3 — Réserve"))</f>
        <v/>
      </c>
      <c r="V102" s="22">
        <f>IF(T102&gt;=75,"J+0 à J+14 — Contact direct personnalisé",IF(T102&gt;=50,"J+30 — Approche CFP ou réseau commun","J+60 — CFP seulement / liste de réserve"))</f>
        <v/>
      </c>
    </row>
    <row r="103" ht="52" customHeight="1">
      <c r="A103" s="27" t="n">
        <v>100</v>
      </c>
      <c r="B103" s="28" t="inlineStr">
        <is>
          <t>Martin Laberge</t>
        </is>
      </c>
      <c r="C103" s="29" t="inlineStr">
        <is>
          <t>Canada</t>
        </is>
      </c>
      <c r="D103" s="29" t="inlineStr">
        <is>
          <t>Canada (Montréal, QC — Énergir)</t>
        </is>
      </c>
      <c r="E103" s="29" t="inlineStr">
        <is>
          <t>FR, EN</t>
        </is>
      </c>
      <c r="F103" s="29" t="n"/>
      <c r="G103" s="29" t="inlineStr">
        <is>
          <t>Keynote / Panel</t>
        </is>
      </c>
      <c r="H103" s="29" t="inlineStr">
        <is>
          <t>Cyber infra. critiques IT/OT, CISO</t>
        </is>
      </c>
      <c r="I103" s="29" t="inlineStr">
        <is>
          <t>Inconnu</t>
        </is>
      </c>
      <c r="J103" s="29" t="n"/>
      <c r="K103" s="29" t="inlineStr">
        <is>
          <t>Via CS4CA Canada / LinkedIn</t>
        </is>
      </c>
      <c r="L103" s="29" t="inlineStr">
        <is>
          <t>À qualifier</t>
        </is>
      </c>
      <c r="M103" s="29" t="inlineStr">
        <is>
          <t>Recherche manuelle / web</t>
        </is>
      </c>
      <c r="N103" s="24" t="n">
        <v>65</v>
      </c>
      <c r="O103" s="23" t="n">
        <v>80</v>
      </c>
      <c r="P103" s="30" t="n">
        <v>20</v>
      </c>
      <c r="Q103" s="24" t="n">
        <v>60</v>
      </c>
      <c r="R103" s="24" t="n">
        <v>75</v>
      </c>
      <c r="S103" s="31" t="n">
        <v>45</v>
      </c>
      <c r="T103" s="32">
        <f>ROUND((N103*0.25+O103*0.20+P103*0.20+Q103*0.15+R103*0.10+S103*0.10),0)</f>
        <v/>
      </c>
      <c r="U103" s="33">
        <f>IF(T103&gt;=75,"Tier 1 — Prioritaire",IF(T103&gt;=50,"Tier 2 — À cultiver","Tier 3 — Réserve"))</f>
        <v/>
      </c>
      <c r="V103" s="29">
        <f>IF(T103&gt;=75,"J+0 à J+14 — Contact direct personnalisé",IF(T103&gt;=50,"J+30 — Approche CFP ou réseau commun","J+60 — CFP seulement / liste de réserve"))</f>
        <v/>
      </c>
    </row>
    <row r="104" ht="52" customHeight="1">
      <c r="A104" s="20" t="n">
        <v>101</v>
      </c>
      <c r="B104" s="21" t="inlineStr">
        <is>
          <t>Mirosław Maj</t>
        </is>
      </c>
      <c r="C104" s="22" t="inlineStr">
        <is>
          <t>Europe</t>
        </is>
      </c>
      <c r="D104" s="22" t="inlineStr">
        <is>
          <t>Pologne</t>
        </is>
      </c>
      <c r="E104" s="22" t="inlineStr">
        <is>
          <t>PL, EN</t>
        </is>
      </c>
      <c r="F104" s="22" t="n"/>
      <c r="G104" s="22" t="inlineStr">
        <is>
          <t>Keynote / Panel</t>
        </is>
      </c>
      <c r="H104" s="22" t="inlineStr">
        <is>
          <t>OT/ICS, gouvernance cyber nationale, formation CSIRT</t>
        </is>
      </c>
      <c r="I104" s="22" t="inlineStr">
        <is>
          <t>Inconnu</t>
        </is>
      </c>
      <c r="J104" s="22" t="n"/>
      <c r="K104" s="22" t="inlineStr">
        <is>
          <t>Via Cybersecurity Foundation Pologne / FIRST.org</t>
        </is>
      </c>
      <c r="L104" s="22" t="inlineStr">
        <is>
          <t>À qualifier</t>
        </is>
      </c>
      <c r="M104" s="22" t="inlineStr">
        <is>
          <t>Recherche manuelle / web</t>
        </is>
      </c>
      <c r="N104" s="24" t="n">
        <v>70</v>
      </c>
      <c r="O104" s="23" t="n">
        <v>80</v>
      </c>
      <c r="P104" s="30" t="n">
        <v>15</v>
      </c>
      <c r="Q104" s="31" t="n">
        <v>55</v>
      </c>
      <c r="R104" s="24" t="n">
        <v>70</v>
      </c>
      <c r="S104" s="31" t="n">
        <v>55</v>
      </c>
      <c r="T104" s="32">
        <f>ROUND((N104*0.25+O104*0.20+P104*0.20+Q104*0.15+R104*0.10+S104*0.10),0)</f>
        <v/>
      </c>
      <c r="U104" s="33">
        <f>IF(T104&gt;=75,"Tier 1 — Prioritaire",IF(T104&gt;=50,"Tier 2 — À cultiver","Tier 3 — Réserve"))</f>
        <v/>
      </c>
      <c r="V104" s="22">
        <f>IF(T104&gt;=75,"J+0 à J+14 — Contact direct personnalisé",IF(T104&gt;=50,"J+30 — Approche CFP ou réseau commun","J+60 — CFP seulement / liste de réserve"))</f>
        <v/>
      </c>
    </row>
    <row r="105" ht="52" customHeight="1">
      <c r="A105" s="27" t="n">
        <v>102</v>
      </c>
      <c r="B105" s="28" t="inlineStr">
        <is>
          <t>Lukas Štefanko</t>
        </is>
      </c>
      <c r="C105" s="29" t="inlineStr">
        <is>
          <t>Europe</t>
        </is>
      </c>
      <c r="D105" s="29" t="inlineStr">
        <is>
          <t>Slovaquie</t>
        </is>
      </c>
      <c r="E105" s="29" t="inlineStr">
        <is>
          <t>SK, EN</t>
        </is>
      </c>
      <c r="F105" s="29" t="n"/>
      <c r="G105" s="29" t="inlineStr">
        <is>
          <t>Talk technique</t>
        </is>
      </c>
      <c r="H105" s="29" t="inlineStr">
        <is>
          <t>Malware research, mobile security</t>
        </is>
      </c>
      <c r="I105" s="29" t="inlineStr">
        <is>
          <t>Payant probable</t>
        </is>
      </c>
      <c r="J105" s="29" t="n"/>
      <c r="K105" s="29" t="inlineStr">
        <is>
          <t>Via Cyber Security Asia 2026 speakers</t>
        </is>
      </c>
      <c r="L105" s="29" t="inlineStr">
        <is>
          <t>À qualifier</t>
        </is>
      </c>
      <c r="M105" s="29" t="inlineStr">
        <is>
          <t>Recherche manuelle / web</t>
        </is>
      </c>
      <c r="N105" s="24" t="n">
        <v>70</v>
      </c>
      <c r="O105" s="23" t="n">
        <v>80</v>
      </c>
      <c r="P105" s="30" t="n">
        <v>15</v>
      </c>
      <c r="Q105" s="31" t="n">
        <v>45</v>
      </c>
      <c r="R105" s="24" t="n">
        <v>75</v>
      </c>
      <c r="S105" s="24" t="n">
        <v>65</v>
      </c>
      <c r="T105" s="32">
        <f>ROUND((N105*0.25+O105*0.20+P105*0.20+Q105*0.15+R105*0.10+S105*0.10),0)</f>
        <v/>
      </c>
      <c r="U105" s="33">
        <f>IF(T105&gt;=75,"Tier 1 — Prioritaire",IF(T105&gt;=50,"Tier 2 — À cultiver","Tier 3 — Réserve"))</f>
        <v/>
      </c>
      <c r="V105" s="29">
        <f>IF(T105&gt;=75,"J+0 à J+14 — Contact direct personnalisé",IF(T105&gt;=50,"J+30 — Approche CFP ou réseau commun","J+60 — CFP seulement / liste de réserve"))</f>
        <v/>
      </c>
    </row>
    <row r="106" ht="52" customHeight="1">
      <c r="A106" s="20" t="n">
        <v>103</v>
      </c>
      <c r="B106" s="21" t="inlineStr">
        <is>
          <t>Jeffrey Macre</t>
        </is>
      </c>
      <c r="C106" s="22" t="inlineStr">
        <is>
          <t>Canada</t>
        </is>
      </c>
      <c r="D106" s="22" t="inlineStr">
        <is>
          <t>Canada (Alberta)</t>
        </is>
      </c>
      <c r="E106" s="22" t="inlineStr">
        <is>
          <t>EN</t>
        </is>
      </c>
      <c r="F106" s="22" t="n"/>
      <c r="G106" s="22" t="inlineStr">
        <is>
          <t>Talk technique</t>
        </is>
      </c>
      <c r="H106" s="22" t="inlineStr">
        <is>
          <t>OT/ICS/SCADA, énergie/eau/manufacturing</t>
        </is>
      </c>
      <c r="I106" s="22" t="inlineStr">
        <is>
          <t>Inconnu</t>
        </is>
      </c>
      <c r="J106" s="22" t="n"/>
      <c r="K106" s="22" t="inlineStr">
        <is>
          <t>Via canada.cs4ca.com/speakers</t>
        </is>
      </c>
      <c r="L106" s="22" t="inlineStr">
        <is>
          <t>À qualifier</t>
        </is>
      </c>
      <c r="M106" s="22" t="inlineStr">
        <is>
          <t>Recherche manuelle / web</t>
        </is>
      </c>
      <c r="N106" s="24" t="n">
        <v>65</v>
      </c>
      <c r="O106" s="23" t="n">
        <v>80</v>
      </c>
      <c r="P106" s="30" t="n">
        <v>15</v>
      </c>
      <c r="Q106" s="24" t="n">
        <v>60</v>
      </c>
      <c r="R106" s="23" t="n">
        <v>80</v>
      </c>
      <c r="S106" s="31" t="n">
        <v>40</v>
      </c>
      <c r="T106" s="32">
        <f>ROUND((N106*0.25+O106*0.20+P106*0.20+Q106*0.15+R106*0.10+S106*0.10),0)</f>
        <v/>
      </c>
      <c r="U106" s="33">
        <f>IF(T106&gt;=75,"Tier 1 — Prioritaire",IF(T106&gt;=50,"Tier 2 — À cultiver","Tier 3 — Réserve"))</f>
        <v/>
      </c>
      <c r="V106" s="22">
        <f>IF(T106&gt;=75,"J+0 à J+14 — Contact direct personnalisé",IF(T106&gt;=50,"J+30 — Approche CFP ou réseau commun","J+60 — CFP seulement / liste de réserve"))</f>
        <v/>
      </c>
    </row>
    <row r="107" ht="52" customHeight="1">
      <c r="A107" s="27" t="n">
        <v>104</v>
      </c>
      <c r="B107" s="28" t="inlineStr">
        <is>
          <t>Cody Barrow</t>
        </is>
      </c>
      <c r="C107" s="29" t="inlineStr">
        <is>
          <t>Europe</t>
        </is>
      </c>
      <c r="D107" s="29" t="inlineStr">
        <is>
          <t>Pays-Bas (Europe)</t>
        </is>
      </c>
      <c r="E107" s="29" t="inlineStr">
        <is>
          <t>EN</t>
        </is>
      </c>
      <c r="F107" s="29" t="n"/>
      <c r="G107" s="29" t="inlineStr">
        <is>
          <t>Keynote / Panel</t>
        </is>
      </c>
      <c r="H107" s="29" t="inlineStr">
        <is>
          <t>Threat Intelligence (CTI), leadership</t>
        </is>
      </c>
      <c r="I107" s="29" t="inlineStr">
        <is>
          <t>Payant probable (CEO)</t>
        </is>
      </c>
      <c r="J107" s="29" t="n"/>
      <c r="K107" s="29" t="inlineStr">
        <is>
          <t>Via EclecticIQ</t>
        </is>
      </c>
      <c r="L107" s="29" t="inlineStr">
        <is>
          <t>À qualifier</t>
        </is>
      </c>
      <c r="M107" s="29" t="inlineStr">
        <is>
          <t>Recherche manuelle / web</t>
        </is>
      </c>
      <c r="N107" s="24" t="n">
        <v>70</v>
      </c>
      <c r="O107" s="23" t="n">
        <v>80</v>
      </c>
      <c r="P107" s="30" t="n">
        <v>15</v>
      </c>
      <c r="Q107" s="31" t="n">
        <v>45</v>
      </c>
      <c r="R107" s="24" t="n">
        <v>70</v>
      </c>
      <c r="S107" s="24" t="n">
        <v>60</v>
      </c>
      <c r="T107" s="32">
        <f>ROUND((N107*0.25+O107*0.20+P107*0.20+Q107*0.15+R107*0.10+S107*0.10),0)</f>
        <v/>
      </c>
      <c r="U107" s="33">
        <f>IF(T107&gt;=75,"Tier 1 — Prioritaire",IF(T107&gt;=50,"Tier 2 — À cultiver","Tier 3 — Réserve"))</f>
        <v/>
      </c>
      <c r="V107" s="29">
        <f>IF(T107&gt;=75,"J+0 à J+14 — Contact direct personnalisé",IF(T107&gt;=50,"J+30 — Approche CFP ou réseau commun","J+60 — CFP seulement / liste de réserve"))</f>
        <v/>
      </c>
    </row>
    <row r="108" ht="52" customHeight="1">
      <c r="A108" s="20" t="n">
        <v>105</v>
      </c>
      <c r="B108" s="21" t="inlineStr">
        <is>
          <t>Bjørn Richard Watne</t>
        </is>
      </c>
      <c r="C108" s="22" t="inlineStr">
        <is>
          <t>International</t>
        </is>
      </c>
      <c r="D108" s="22" t="inlineStr">
        <is>
          <t>International / INTERPOL</t>
        </is>
      </c>
      <c r="E108" s="22" t="inlineStr">
        <is>
          <t>EN, NO</t>
        </is>
      </c>
      <c r="F108" s="22" t="inlineStr">
        <is>
          <t>CISO, Office of Internal Oversight — INTERPOL</t>
        </is>
      </c>
      <c r="G108" s="22" t="inlineStr">
        <is>
          <t>Talk / Panel</t>
        </is>
      </c>
      <c r="H108" s="22" t="inlineStr">
        <is>
          <t>GRC, coopération internationale</t>
        </is>
      </c>
      <c r="I108" s="22" t="inlineStr">
        <is>
          <t>Inconnu, probablement institutionnel</t>
        </is>
      </c>
      <c r="J108" s="22" t="inlineStr">
        <is>
          <t>Via INTERPOL</t>
        </is>
      </c>
      <c r="K108" s="22" t="inlineStr">
        <is>
          <t>Non trouvé ; https://www.interpol.int/</t>
        </is>
      </c>
      <c r="L108" s="22" t="inlineStr">
        <is>
          <t>À qualifier</t>
        </is>
      </c>
      <c r="M108" s="22" t="inlineStr">
        <is>
          <t>Vague1 - vérifié</t>
        </is>
      </c>
      <c r="N108" s="24" t="n">
        <v>70</v>
      </c>
      <c r="O108" s="24" t="n">
        <v>70</v>
      </c>
      <c r="P108" s="30" t="n">
        <v>20</v>
      </c>
      <c r="Q108" s="31" t="n">
        <v>55</v>
      </c>
      <c r="R108" s="24" t="n">
        <v>65</v>
      </c>
      <c r="S108" s="31" t="n">
        <v>55</v>
      </c>
      <c r="T108" s="32">
        <f>ROUND((N108*0.25+O108*0.20+P108*0.20+Q108*0.15+R108*0.10+S108*0.10),0)</f>
        <v/>
      </c>
      <c r="U108" s="33">
        <f>IF(T108&gt;=75,"Tier 1 — Prioritaire",IF(T108&gt;=50,"Tier 2 — À cultiver","Tier 3 — Réserve"))</f>
        <v/>
      </c>
      <c r="V108" s="22">
        <f>IF(T108&gt;=75,"J+0 à J+14 — Contact direct personnalisé",IF(T108&gt;=50,"J+30 — Approche CFP ou réseau commun","J+60 — CFP seulement / liste de réserve"))</f>
        <v/>
      </c>
    </row>
    <row r="109" ht="52" customHeight="1">
      <c r="A109" s="27" t="n">
        <v>106</v>
      </c>
      <c r="B109" s="28" t="inlineStr">
        <is>
          <t>Noah Emuna</t>
        </is>
      </c>
      <c r="C109" s="29" t="inlineStr">
        <is>
          <t>Moyen-Orient</t>
        </is>
      </c>
      <c r="D109" s="29" t="inlineStr">
        <is>
          <t>Israël</t>
        </is>
      </c>
      <c r="E109" s="29" t="inlineStr">
        <is>
          <t>HE, EN</t>
        </is>
      </c>
      <c r="F109" s="29" t="inlineStr">
        <is>
          <t>Consultant Homeland Security — Inconnu</t>
        </is>
      </c>
      <c r="G109" s="29" t="inlineStr">
        <is>
          <t>Talk / Panel</t>
        </is>
      </c>
      <c r="H109" s="29" t="inlineStr">
        <is>
          <t>Homeland Security</t>
        </is>
      </c>
      <c r="I109" s="29" t="inlineStr">
        <is>
          <t>Inconnu</t>
        </is>
      </c>
      <c r="J109" s="29" t="n"/>
      <c r="K109" s="29" t="inlineStr">
        <is>
          <t>Non trouvé ; https://www.cyberweekafrica.com/</t>
        </is>
      </c>
      <c r="L109" s="29" t="inlineStr">
        <is>
          <t>À qualifier</t>
        </is>
      </c>
      <c r="M109" s="29" t="inlineStr">
        <is>
          <t>Vague2 - vérifié (Cyberweek Africa)</t>
        </is>
      </c>
      <c r="N109" s="24" t="n">
        <v>60</v>
      </c>
      <c r="O109" s="24" t="n">
        <v>70</v>
      </c>
      <c r="P109" s="30" t="n">
        <v>35</v>
      </c>
      <c r="Q109" s="24" t="n">
        <v>60</v>
      </c>
      <c r="R109" s="24" t="n">
        <v>65</v>
      </c>
      <c r="S109" s="31" t="n">
        <v>50</v>
      </c>
      <c r="T109" s="32">
        <f>ROUND((N109*0.25+O109*0.20+P109*0.20+Q109*0.15+R109*0.10+S109*0.10),0)</f>
        <v/>
      </c>
      <c r="U109" s="33">
        <f>IF(T109&gt;=75,"Tier 1 — Prioritaire",IF(T109&gt;=50,"Tier 2 — À cultiver","Tier 3 — Réserve"))</f>
        <v/>
      </c>
      <c r="V109" s="29">
        <f>IF(T109&gt;=75,"J+0 à J+14 — Contact direct personnalisé",IF(T109&gt;=50,"J+30 — Approche CFP ou réseau commun","J+60 — CFP seulement / liste de réserve"))</f>
        <v/>
      </c>
    </row>
    <row r="110" ht="52" customHeight="1">
      <c r="A110" s="20" t="n">
        <v>107</v>
      </c>
      <c r="B110" s="21" t="inlineStr">
        <is>
          <t>Rajat Kumar Kundu</t>
        </is>
      </c>
      <c r="C110" s="22" t="inlineStr">
        <is>
          <t>Canada</t>
        </is>
      </c>
      <c r="D110" s="22" t="inlineStr">
        <is>
          <t>Canada (Alberta — Enbridge)</t>
        </is>
      </c>
      <c r="E110" s="22" t="inlineStr">
        <is>
          <t>EN</t>
        </is>
      </c>
      <c r="F110" s="22" t="n"/>
      <c r="G110" s="22" t="inlineStr">
        <is>
          <t>Talk technique</t>
        </is>
      </c>
      <c r="H110" s="22" t="inlineStr">
        <is>
          <t>OT/ICS/SCADA, pipelines</t>
        </is>
      </c>
      <c r="I110" s="22" t="inlineStr">
        <is>
          <t>Inconnu</t>
        </is>
      </c>
      <c r="J110" s="22" t="n"/>
      <c r="K110" s="22" t="inlineStr">
        <is>
          <t>Via CS4CA Canada / LinkedIn Enbridge</t>
        </is>
      </c>
      <c r="L110" s="22" t="inlineStr">
        <is>
          <t>À qualifier</t>
        </is>
      </c>
      <c r="M110" s="22" t="inlineStr">
        <is>
          <t>Recherche manuelle / web</t>
        </is>
      </c>
      <c r="N110" s="24" t="n">
        <v>60</v>
      </c>
      <c r="O110" s="23" t="n">
        <v>80</v>
      </c>
      <c r="P110" s="30" t="n">
        <v>20</v>
      </c>
      <c r="Q110" s="24" t="n">
        <v>60</v>
      </c>
      <c r="R110" s="24" t="n">
        <v>75</v>
      </c>
      <c r="S110" s="30" t="n">
        <v>35</v>
      </c>
      <c r="T110" s="32">
        <f>ROUND((N110*0.25+O110*0.20+P110*0.20+Q110*0.15+R110*0.10+S110*0.10),0)</f>
        <v/>
      </c>
      <c r="U110" s="33">
        <f>IF(T110&gt;=75,"Tier 1 — Prioritaire",IF(T110&gt;=50,"Tier 2 — À cultiver","Tier 3 — Réserve"))</f>
        <v/>
      </c>
      <c r="V110" s="22">
        <f>IF(T110&gt;=75,"J+0 à J+14 — Contact direct personnalisé",IF(T110&gt;=50,"J+30 — Approche CFP ou réseau commun","J+60 — CFP seulement / liste de réserve"))</f>
        <v/>
      </c>
    </row>
    <row r="111" ht="52" customHeight="1">
      <c r="A111" s="27" t="n">
        <v>108</v>
      </c>
      <c r="B111" s="28" t="inlineStr">
        <is>
          <t>ET Atere</t>
        </is>
      </c>
      <c r="C111" s="29" t="inlineStr">
        <is>
          <t>Canada</t>
        </is>
      </c>
      <c r="D111" s="29" t="inlineStr">
        <is>
          <t>Canada (WSP)</t>
        </is>
      </c>
      <c r="E111" s="29" t="inlineStr">
        <is>
          <t>EN</t>
        </is>
      </c>
      <c r="F111" s="29" t="n"/>
      <c r="G111" s="29" t="inlineStr">
        <is>
          <t>Talk technique</t>
        </is>
      </c>
      <c r="H111" s="29" t="inlineStr">
        <is>
          <t>OT/ICS, rail, utilities, eau</t>
        </is>
      </c>
      <c r="I111" s="29" t="inlineStr">
        <is>
          <t>Inconnu</t>
        </is>
      </c>
      <c r="J111" s="29" t="n"/>
      <c r="K111" s="29" t="inlineStr">
        <is>
          <t>Via CS4CA Canada / LinkedIn WSP</t>
        </is>
      </c>
      <c r="L111" s="29" t="inlineStr">
        <is>
          <t>À qualifier</t>
        </is>
      </c>
      <c r="M111" s="29" t="inlineStr">
        <is>
          <t>Recherche manuelle / web</t>
        </is>
      </c>
      <c r="N111" s="31" t="n">
        <v>55</v>
      </c>
      <c r="O111" s="24" t="n">
        <v>75</v>
      </c>
      <c r="P111" s="30" t="n">
        <v>35</v>
      </c>
      <c r="Q111" s="31" t="n">
        <v>55</v>
      </c>
      <c r="R111" s="24" t="n">
        <v>70</v>
      </c>
      <c r="S111" s="30" t="n">
        <v>35</v>
      </c>
      <c r="T111" s="32">
        <f>ROUND((N111*0.25+O111*0.20+P111*0.20+Q111*0.15+R111*0.10+S111*0.10),0)</f>
        <v/>
      </c>
      <c r="U111" s="33">
        <f>IF(T111&gt;=75,"Tier 1 — Prioritaire",IF(T111&gt;=50,"Tier 2 — À cultiver","Tier 3 — Réserve"))</f>
        <v/>
      </c>
      <c r="V111" s="29">
        <f>IF(T111&gt;=75,"J+0 à J+14 — Contact direct personnalisé",IF(T111&gt;=50,"J+30 — Approche CFP ou réseau commun","J+60 — CFP seulement / liste de réserve"))</f>
        <v/>
      </c>
    </row>
    <row r="112" ht="52" customHeight="1">
      <c r="A112" s="20" t="n">
        <v>109</v>
      </c>
      <c r="B112" s="21" t="inlineStr">
        <is>
          <t>Cecil (nom de famille non confirmé)</t>
        </is>
      </c>
      <c r="C112" s="22" t="inlineStr">
        <is>
          <t>Asie</t>
        </is>
      </c>
      <c r="D112" s="22" t="inlineStr">
        <is>
          <t>Singapour</t>
        </is>
      </c>
      <c r="E112" s="22" t="inlineStr">
        <is>
          <t>EN</t>
        </is>
      </c>
      <c r="F112" s="22" t="n"/>
      <c r="G112" s="22" t="inlineStr">
        <is>
          <t>Talk / Panel</t>
        </is>
      </c>
      <c r="H112" s="22" t="inlineStr">
        <is>
          <t>IA &amp; cybersécurité, AppSec</t>
        </is>
      </c>
      <c r="I112" s="22" t="inlineStr">
        <is>
          <t>Inconnu</t>
        </is>
      </c>
      <c r="J112" s="22" t="n"/>
      <c r="K112" s="22" t="inlineStr">
        <is>
          <t>Via Black Hat Asia 2026 speaker page</t>
        </is>
      </c>
      <c r="L112" s="22" t="inlineStr">
        <is>
          <t>À qualifier</t>
        </is>
      </c>
      <c r="M112" s="22" t="inlineStr">
        <is>
          <t>Recherche manuelle / web</t>
        </is>
      </c>
      <c r="N112" s="24" t="n">
        <v>60</v>
      </c>
      <c r="O112" s="24" t="n">
        <v>75</v>
      </c>
      <c r="P112" s="30" t="n">
        <v>20</v>
      </c>
      <c r="Q112" s="31" t="n">
        <v>55</v>
      </c>
      <c r="R112" s="24" t="n">
        <v>70</v>
      </c>
      <c r="S112" s="31" t="n">
        <v>45</v>
      </c>
      <c r="T112" s="32">
        <f>ROUND((N112*0.25+O112*0.20+P112*0.20+Q112*0.15+R112*0.10+S112*0.10),0)</f>
        <v/>
      </c>
      <c r="U112" s="33">
        <f>IF(T112&gt;=75,"Tier 1 — Prioritaire",IF(T112&gt;=50,"Tier 2 — À cultiver","Tier 3 — Réserve"))</f>
        <v/>
      </c>
      <c r="V112" s="22">
        <f>IF(T112&gt;=75,"J+0 à J+14 — Contact direct personnalisé",IF(T112&gt;=50,"J+30 — Approche CFP ou réseau commun","J+60 — CFP seulement / liste de réserve"))</f>
        <v/>
      </c>
    </row>
    <row r="113" ht="52" customHeight="1">
      <c r="A113" s="27" t="n">
        <v>110</v>
      </c>
      <c r="B113" s="28" t="inlineStr">
        <is>
          <t>Marcin Fronczak</t>
        </is>
      </c>
      <c r="C113" s="29" t="inlineStr">
        <is>
          <t>Europe</t>
        </is>
      </c>
      <c r="D113" s="29" t="inlineStr">
        <is>
          <t>Pologne</t>
        </is>
      </c>
      <c r="E113" s="29" t="inlineStr">
        <is>
          <t>PL, EN</t>
        </is>
      </c>
      <c r="F113" s="29" t="n"/>
      <c r="G113" s="29" t="inlineStr">
        <is>
          <t>Talk / Workshop</t>
        </is>
      </c>
      <c r="H113" s="29" t="inlineStr">
        <is>
          <t>GRC, audits IT/OT, secteur financier/assurance</t>
        </is>
      </c>
      <c r="I113" s="29" t="inlineStr">
        <is>
          <t>Inconnu</t>
        </is>
      </c>
      <c r="J113" s="29" t="n"/>
      <c r="K113" s="29" t="inlineStr">
        <is>
          <t>Via FIRST.org publications</t>
        </is>
      </c>
      <c r="L113" s="29" t="inlineStr">
        <is>
          <t>À qualifier</t>
        </is>
      </c>
      <c r="M113" s="29" t="inlineStr">
        <is>
          <t>Recherche manuelle / web</t>
        </is>
      </c>
      <c r="N113" s="24" t="n">
        <v>60</v>
      </c>
      <c r="O113" s="24" t="n">
        <v>75</v>
      </c>
      <c r="P113" s="30" t="n">
        <v>15</v>
      </c>
      <c r="Q113" s="31" t="n">
        <v>55</v>
      </c>
      <c r="R113" s="24" t="n">
        <v>75</v>
      </c>
      <c r="S113" s="31" t="n">
        <v>45</v>
      </c>
      <c r="T113" s="32">
        <f>ROUND((N113*0.25+O113*0.20+P113*0.20+Q113*0.15+R113*0.10+S113*0.10),0)</f>
        <v/>
      </c>
      <c r="U113" s="33">
        <f>IF(T113&gt;=75,"Tier 1 — Prioritaire",IF(T113&gt;=50,"Tier 2 — À cultiver","Tier 3 — Réserve"))</f>
        <v/>
      </c>
      <c r="V113" s="29">
        <f>IF(T113&gt;=75,"J+0 à J+14 — Contact direct personnalisé",IF(T113&gt;=50,"J+30 — Approche CFP ou réseau commun","J+60 — CFP seulement / liste de réserve"))</f>
        <v/>
      </c>
    </row>
    <row r="114" ht="52" customHeight="1">
      <c r="A114" s="20" t="n">
        <v>111</v>
      </c>
      <c r="B114" s="21" t="inlineStr">
        <is>
          <t>Gus Arias, CISSP</t>
        </is>
      </c>
      <c r="C114" s="22" t="inlineStr">
        <is>
          <t>Canada</t>
        </is>
      </c>
      <c r="D114" s="22" t="inlineStr">
        <is>
          <t>Canada</t>
        </is>
      </c>
      <c r="E114" s="22" t="inlineStr">
        <is>
          <t>EN</t>
        </is>
      </c>
      <c r="F114" s="22" t="n"/>
      <c r="G114" s="22" t="inlineStr">
        <is>
          <t>Talk technique</t>
        </is>
      </c>
      <c r="H114" s="22" t="inlineStr">
        <is>
          <t>Cloud/hybrid security, EDR/NDR, SecOps</t>
        </is>
      </c>
      <c r="I114" s="22" t="inlineStr">
        <is>
          <t>Inconnu</t>
        </is>
      </c>
      <c r="J114" s="22" t="n"/>
      <c r="K114" s="22" t="inlineStr">
        <is>
          <t>Via CS4CA Canada</t>
        </is>
      </c>
      <c r="L114" s="22" t="inlineStr">
        <is>
          <t>À qualifier</t>
        </is>
      </c>
      <c r="M114" s="22" t="inlineStr">
        <is>
          <t>Recherche manuelle / web</t>
        </is>
      </c>
      <c r="N114" s="31" t="n">
        <v>55</v>
      </c>
      <c r="O114" s="24" t="n">
        <v>75</v>
      </c>
      <c r="P114" s="30" t="n">
        <v>20</v>
      </c>
      <c r="Q114" s="31" t="n">
        <v>55</v>
      </c>
      <c r="R114" s="24" t="n">
        <v>70</v>
      </c>
      <c r="S114" s="30" t="n">
        <v>35</v>
      </c>
      <c r="T114" s="32">
        <f>ROUND((N114*0.25+O114*0.20+P114*0.20+Q114*0.15+R114*0.10+S114*0.10),0)</f>
        <v/>
      </c>
      <c r="U114" s="33">
        <f>IF(T114&gt;=75,"Tier 1 — Prioritaire",IF(T114&gt;=50,"Tier 2 — À cultiver","Tier 3 — Réserve"))</f>
        <v/>
      </c>
      <c r="V114" s="22">
        <f>IF(T114&gt;=75,"J+0 à J+14 — Contact direct personnalisé",IF(T114&gt;=50,"J+30 — Approche CFP ou réseau commun","J+60 — CFP seulement / liste de réserve"))</f>
        <v/>
      </c>
    </row>
    <row r="115" ht="52" customHeight="1">
      <c r="A115" s="27" t="n">
        <v>112</v>
      </c>
      <c r="B115" s="28" t="inlineStr">
        <is>
          <t>Hyelim Juliana Kim</t>
        </is>
      </c>
      <c r="C115" s="29" t="inlineStr">
        <is>
          <t>Asie</t>
        </is>
      </c>
      <c r="D115" s="29" t="inlineStr">
        <is>
          <t>Corée du Sud</t>
        </is>
      </c>
      <c r="E115" s="29" t="inlineStr">
        <is>
          <t>KO, EN</t>
        </is>
      </c>
      <c r="F115" s="29" t="n"/>
      <c r="G115" s="29" t="inlineStr">
        <is>
          <t>Talk / Panel</t>
        </is>
      </c>
      <c r="H115" s="29" t="inlineStr">
        <is>
          <t>Cybersécurité aérospatiale</t>
        </is>
      </c>
      <c r="I115" s="29" t="inlineStr">
        <is>
          <t>Inconnu</t>
        </is>
      </c>
      <c r="J115" s="29" t="n"/>
      <c r="K115" s="29" t="inlineStr">
        <is>
          <t>À approfondir — repérée via Cyberconférence Montréal</t>
        </is>
      </c>
      <c r="L115" s="29" t="inlineStr">
        <is>
          <t>À qualifier</t>
        </is>
      </c>
      <c r="M115" s="29" t="inlineStr">
        <is>
          <t>Recherche manuelle / web</t>
        </is>
      </c>
      <c r="N115" s="31" t="n">
        <v>55</v>
      </c>
      <c r="O115" s="24" t="n">
        <v>65</v>
      </c>
      <c r="P115" s="30" t="n">
        <v>15</v>
      </c>
      <c r="Q115" s="31" t="n">
        <v>55</v>
      </c>
      <c r="R115" s="24" t="n">
        <v>65</v>
      </c>
      <c r="S115" s="31" t="n">
        <v>40</v>
      </c>
      <c r="T115" s="34">
        <f>ROUND((N115*0.25+O115*0.20+P115*0.20+Q115*0.15+R115*0.10+S115*0.10),0)</f>
        <v/>
      </c>
      <c r="U115" s="35">
        <f>IF(T115&gt;=75,"Tier 1 — Prioritaire",IF(T115&gt;=50,"Tier 2 — À cultiver","Tier 3 — Réserve"))</f>
        <v/>
      </c>
      <c r="V115" s="29">
        <f>IF(T115&gt;=75,"J+0 à J+14 — Contact direct personnalisé",IF(T115&gt;=50,"J+30 — Approche CFP ou réseau commun","J+60 — CFP seulement / liste de réserve"))</f>
        <v/>
      </c>
    </row>
  </sheetData>
  <autoFilter ref="A2:V115"/>
  <mergeCells count="3">
    <mergeCell ref="T1:V1"/>
    <mergeCell ref="A1:D1"/>
    <mergeCell ref="E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</cols>
  <sheetData>
    <row r="1" ht="18" customHeight="1">
      <c r="A1" s="36" t="inlineStr">
        <is>
          <t>CRITÈRE</t>
        </is>
      </c>
      <c r="B1" s="36" t="inlineStr">
        <is>
          <t>DESCRIPTION SCORE</t>
        </is>
      </c>
      <c r="C1" s="36" t="inlineStr">
        <is>
          <t>PLAGE</t>
        </is>
      </c>
    </row>
    <row r="2" ht="18" customHeight="1">
      <c r="A2" s="37" t="inlineStr"/>
      <c r="B2" s="37" t="inlineStr"/>
      <c r="C2" s="37" t="inlineStr"/>
    </row>
    <row r="3" ht="18" customHeight="1">
      <c r="A3" s="38" t="inlineStr">
        <is>
          <t>P1 — Pertinence internationale (25%)</t>
        </is>
      </c>
      <c r="B3" s="38" t="inlineStr"/>
      <c r="C3" s="38" t="inlineStr"/>
    </row>
    <row r="4" ht="18" customHeight="1">
      <c r="A4" s="37" t="inlineStr"/>
      <c r="B4" s="37" t="inlineStr">
        <is>
          <t>90–100 : Speaker régulier RSA, Black Hat, TED, DEF CON, speaker bureau international</t>
        </is>
      </c>
      <c r="C4" s="39" t="inlineStr">
        <is>
          <t>Excellent</t>
        </is>
      </c>
    </row>
    <row r="5" ht="18" customHeight="1">
      <c r="A5" s="37" t="inlineStr"/>
      <c r="B5" s="37" t="inlineStr">
        <is>
          <t>70–89 : Speaker conférences régionales majeures, cité dans presse spécialisée</t>
        </is>
      </c>
      <c r="C5" s="40" t="inlineStr">
        <is>
          <t>Très bon</t>
        </is>
      </c>
    </row>
    <row r="6" ht="18" customHeight="1">
      <c r="A6" s="37" t="inlineStr"/>
      <c r="B6" s="37" t="inlineStr">
        <is>
          <t>50–69 : Speaker événements nationaux / académiques, quelques apparitions intl.</t>
        </is>
      </c>
      <c r="C6" s="40" t="inlineStr">
        <is>
          <t>Bon</t>
        </is>
      </c>
    </row>
    <row r="7" ht="18" customHeight="1">
      <c r="A7" s="37" t="inlineStr"/>
      <c r="B7" s="37" t="inlineStr">
        <is>
          <t>30–49 : Praticien actif, visibilité conférence limitée</t>
        </is>
      </c>
      <c r="C7" s="41" t="inlineStr">
        <is>
          <t>Moyen</t>
        </is>
      </c>
    </row>
    <row r="8" ht="18" customHeight="1">
      <c r="A8" s="37" t="inlineStr"/>
      <c r="B8" s="37" t="inlineStr">
        <is>
          <t>0–29 : Profil local ou jamais apparu comme speaker public</t>
        </is>
      </c>
      <c r="C8" s="41" t="inlineStr">
        <is>
          <t>Faible</t>
        </is>
      </c>
    </row>
    <row r="9" ht="18" customHeight="1">
      <c r="A9" s="37" t="inlineStr"/>
      <c r="B9" s="37" t="inlineStr"/>
      <c r="C9" s="37" t="inlineStr"/>
    </row>
    <row r="10" ht="18" customHeight="1">
      <c r="A10" s="38" t="inlineStr">
        <is>
          <t>P2 — Alignement thématique (20%)</t>
        </is>
      </c>
      <c r="B10" s="38" t="inlineStr"/>
      <c r="C10" s="38" t="inlineStr"/>
    </row>
    <row r="11" ht="18" customHeight="1">
      <c r="A11" s="37" t="inlineStr"/>
      <c r="B11" s="37" t="inlineStr">
        <is>
          <t>90–100 : Expertise principale = thématique EOCON, sujet identifié et original</t>
        </is>
      </c>
      <c r="C11" s="39" t="inlineStr">
        <is>
          <t>Excellent</t>
        </is>
      </c>
    </row>
    <row r="12" ht="18" customHeight="1">
      <c r="A12" s="37" t="inlineStr"/>
      <c r="B12" s="37" t="inlineStr">
        <is>
          <t>70–89 : Bonne couverture, 1-2 thématiques EOCON dans sa pratique</t>
        </is>
      </c>
      <c r="C12" s="40" t="inlineStr">
        <is>
          <t>Très bon</t>
        </is>
      </c>
    </row>
    <row r="13" ht="18" customHeight="1">
      <c r="A13" s="37" t="inlineStr"/>
      <c r="B13" s="37" t="inlineStr">
        <is>
          <t>50–69 : Couverture partielle, profil adjacent (ex: fintech vs cybersécurité)</t>
        </is>
      </c>
      <c r="C13" s="40" t="inlineStr">
        <is>
          <t>Bon</t>
        </is>
      </c>
    </row>
    <row r="14" ht="18" customHeight="1">
      <c r="A14" s="37" t="inlineStr"/>
      <c r="B14" s="37" t="inlineStr">
        <is>
          <t>0–49 : Trop éloigné ou sujet déjà saturé dans le programme</t>
        </is>
      </c>
      <c r="C14" s="41" t="inlineStr">
        <is>
          <t>Faible</t>
        </is>
      </c>
    </row>
    <row r="15" ht="18" customHeight="1">
      <c r="A15" s="37" t="inlineStr"/>
      <c r="B15" s="37" t="inlineStr"/>
      <c r="C15" s="37" t="inlineStr"/>
    </row>
    <row r="16" ht="18" customHeight="1">
      <c r="A16" s="38" t="inlineStr">
        <is>
          <t>P3 — Africanité / Diaspora (20%)</t>
        </is>
      </c>
      <c r="B16" s="38" t="inlineStr"/>
      <c r="C16" s="38" t="inlineStr"/>
    </row>
    <row r="17" ht="18" customHeight="1">
      <c r="A17" s="37" t="inlineStr"/>
      <c r="B17" s="37" t="inlineStr">
        <is>
          <t>90–100 : Africain(e) ou diaspora avec engagement actif continent, réseau cyber Afrique</t>
        </is>
      </c>
      <c r="C17" s="39" t="inlineStr">
        <is>
          <t>Excellent</t>
        </is>
      </c>
    </row>
    <row r="18" ht="18" customHeight="1">
      <c r="A18" s="37" t="inlineStr"/>
      <c r="B18" s="37" t="inlineStr">
        <is>
          <t>70–89 : Non-africain mais travail de terrain en Afrique documenté</t>
        </is>
      </c>
      <c r="C18" s="40" t="inlineStr">
        <is>
          <t>Très bon</t>
        </is>
      </c>
    </row>
    <row r="19" ht="18" customHeight="1">
      <c r="A19" s="37" t="inlineStr"/>
      <c r="B19" s="37" t="inlineStr">
        <is>
          <t>30–69 : Lien indirect (partenaires, organisations africaines)</t>
        </is>
      </c>
      <c r="C19" s="41" t="inlineStr">
        <is>
          <t>Moyen</t>
        </is>
      </c>
    </row>
    <row r="20" ht="18" customHeight="1">
      <c r="A20" s="37" t="inlineStr"/>
      <c r="B20" s="37" t="inlineStr">
        <is>
          <t>0–29 : Aucun lien identifié avec l'écosystème africain</t>
        </is>
      </c>
      <c r="C20" s="41" t="inlineStr">
        <is>
          <t>Faible</t>
        </is>
      </c>
    </row>
    <row r="21" ht="18" customHeight="1">
      <c r="A21" s="37" t="inlineStr"/>
      <c r="B21" s="37" t="inlineStr"/>
      <c r="C21" s="37" t="inlineStr"/>
    </row>
    <row r="22" ht="18" customHeight="1">
      <c r="A22" s="38" t="inlineStr">
        <is>
          <t>P4 — Accessibilité &amp; Budget (15%)</t>
        </is>
      </c>
      <c r="B22" s="38" t="inlineStr"/>
      <c r="C22" s="38" t="inlineStr"/>
    </row>
    <row r="23" ht="18" customHeight="1">
      <c r="A23" s="37" t="inlineStr"/>
      <c r="B23" s="37" t="inlineStr">
        <is>
          <t>90–100 : Confirmé gratuit / pro bono (ex: Vandana Verma, speakers grassroots)</t>
        </is>
      </c>
      <c r="C23" s="39" t="inlineStr">
        <is>
          <t>Excellent</t>
        </is>
      </c>
    </row>
    <row r="24" ht="18" customHeight="1">
      <c r="A24" s="37" t="inlineStr"/>
      <c r="B24" s="37" t="inlineStr">
        <is>
          <t>70–89 : Cadre institutionnel (fonctionnaire, académique) — frais voyage seulement</t>
        </is>
      </c>
      <c r="C24" s="40" t="inlineStr">
        <is>
          <t>Très bon</t>
        </is>
      </c>
    </row>
    <row r="25" ht="18" customHeight="1">
      <c r="A25" s="37" t="inlineStr"/>
      <c r="B25" s="37" t="inlineStr">
        <is>
          <t>40–69 : Inconnu / à négocier, cachet probable modéré</t>
        </is>
      </c>
      <c r="C25" s="41" t="inlineStr">
        <is>
          <t>Moyen</t>
        </is>
      </c>
    </row>
    <row r="26" ht="18" customHeight="1">
      <c r="A26" s="37" t="inlineStr"/>
      <c r="B26" s="37" t="inlineStr">
        <is>
          <t>20–39 : Profil commercial, probablement payant</t>
        </is>
      </c>
      <c r="C26" s="41" t="inlineStr">
        <is>
          <t>Faible</t>
        </is>
      </c>
    </row>
    <row r="27" ht="18" customHeight="1">
      <c r="A27" s="37" t="inlineStr"/>
      <c r="B27" s="37" t="inlineStr">
        <is>
          <t>0–19 : Bureau de speakers officiel, cachet confirmé &gt; 5 000 €</t>
        </is>
      </c>
      <c r="C27" s="41" t="inlineStr">
        <is>
          <t>Très faible</t>
        </is>
      </c>
    </row>
    <row r="28" ht="18" customHeight="1">
      <c r="A28" s="37" t="inlineStr"/>
      <c r="B28" s="37" t="inlineStr"/>
      <c r="C28" s="37" t="inlineStr"/>
    </row>
    <row r="29" ht="18" customHeight="1">
      <c r="A29" s="38" t="inlineStr">
        <is>
          <t>P5 — Adéquation format (10%)</t>
        </is>
      </c>
      <c r="B29" s="38" t="inlineStr"/>
      <c r="C29" s="38" t="inlineStr"/>
    </row>
    <row r="30" ht="18" customHeight="1">
      <c r="A30" s="37" t="inlineStr"/>
      <c r="B30" s="37" t="inlineStr">
        <is>
          <t>90–100 : Couvre un format rare dans le programme (ex: unique profil OT/ICS workshop)</t>
        </is>
      </c>
      <c r="C30" s="39" t="inlineStr">
        <is>
          <t>Excellent</t>
        </is>
      </c>
    </row>
    <row r="31" ht="18" customHeight="1">
      <c r="A31" s="37" t="inlineStr"/>
      <c r="B31" s="37" t="inlineStr">
        <is>
          <t>70–89 : Bon complément thématique ou format non encore couvert</t>
        </is>
      </c>
      <c r="C31" s="40" t="inlineStr">
        <is>
          <t>Très bon</t>
        </is>
      </c>
    </row>
    <row r="32" ht="18" customHeight="1">
      <c r="A32" s="37" t="inlineStr"/>
      <c r="B32" s="37" t="inlineStr">
        <is>
          <t>50–69 : Format déjà bien couvert mais profil distinctif</t>
        </is>
      </c>
      <c r="C32" s="40" t="inlineStr">
        <is>
          <t>Bon</t>
        </is>
      </c>
    </row>
    <row r="33" ht="18" customHeight="1">
      <c r="A33" s="37" t="inlineStr"/>
      <c r="B33" s="37" t="inlineStr">
        <is>
          <t>0–49 : Doublon thématique ET format dans le programme</t>
        </is>
      </c>
      <c r="C33" s="41" t="inlineStr">
        <is>
          <t>Faible</t>
        </is>
      </c>
    </row>
    <row r="34" ht="18" customHeight="1">
      <c r="A34" s="37" t="inlineStr"/>
      <c r="B34" s="37" t="inlineStr"/>
      <c r="C34" s="37" t="inlineStr"/>
    </row>
    <row r="35" ht="18" customHeight="1">
      <c r="A35" s="38" t="inlineStr">
        <is>
          <t>P6 — Visibilité &amp; Rayonnement (10%)</t>
        </is>
      </c>
      <c r="B35" s="38" t="inlineStr"/>
      <c r="C35" s="38" t="inlineStr"/>
    </row>
    <row r="36" ht="18" customHeight="1">
      <c r="A36" s="37" t="inlineStr"/>
      <c r="B36" s="37" t="inlineStr">
        <is>
          <t>80–100 : &gt;10k abonnés LinkedIn, publications régulières, podcasts, médias grand public</t>
        </is>
      </c>
      <c r="C36" s="39" t="inlineStr">
        <is>
          <t>Excellent</t>
        </is>
      </c>
    </row>
    <row r="37" ht="18" customHeight="1">
      <c r="A37" s="37" t="inlineStr"/>
      <c r="B37" s="37" t="inlineStr">
        <is>
          <t>60–79 : Actif sur les réseaux, quelques médias spécialisés</t>
        </is>
      </c>
      <c r="C37" s="40" t="inlineStr">
        <is>
          <t>Bon</t>
        </is>
      </c>
    </row>
    <row r="38" ht="18" customHeight="1">
      <c r="A38" s="37" t="inlineStr"/>
      <c r="B38" s="37" t="inlineStr">
        <is>
          <t>30–59 : Présence modérée, publications sporadiques</t>
        </is>
      </c>
      <c r="C38" s="41" t="inlineStr">
        <is>
          <t>Moyen</t>
        </is>
      </c>
    </row>
    <row r="39" ht="18" customHeight="1">
      <c r="A39" s="37" t="inlineStr"/>
      <c r="B39" s="37" t="inlineStr">
        <is>
          <t>0–29 : Profil discret, peu de traces publiques récentes</t>
        </is>
      </c>
      <c r="C39" s="41" t="inlineStr">
        <is>
          <t>Faible</t>
        </is>
      </c>
    </row>
    <row r="40" ht="18" customHeight="1">
      <c r="A40" s="37" t="inlineStr"/>
      <c r="B40" s="37" t="inlineStr"/>
      <c r="C40" s="37" t="inlineStr"/>
    </row>
    <row r="41" ht="18" customHeight="1">
      <c r="A41" s="42" t="inlineStr">
        <is>
          <t>FORMULE IP</t>
        </is>
      </c>
      <c r="B41" s="42">
        <f>ROUND(P1×0.25 + P2×0.20 + P3×0.20 + P4×0.15 + P5×0.10 + P6×0.10, 0)</f>
        <v/>
      </c>
      <c r="C41" s="42" t="inlineStr"/>
    </row>
    <row r="42" ht="18" customHeight="1">
      <c r="A42" s="37" t="inlineStr"/>
      <c r="B42" s="37" t="inlineStr"/>
      <c r="C42" s="37" t="inlineStr"/>
    </row>
    <row r="43" ht="18" customHeight="1">
      <c r="A43" s="43" t="inlineStr">
        <is>
          <t>SEUILS TIER</t>
        </is>
      </c>
      <c r="B43" s="43" t="inlineStr">
        <is>
          <t>Tier 1 — Prioritaire : IP ≥ 75 → Contact J+0 à J+14, message personnalisé</t>
        </is>
      </c>
      <c r="C43" s="43" t="inlineStr">
        <is>
          <t>≥ 75</t>
        </is>
      </c>
    </row>
    <row r="44" ht="18" customHeight="1">
      <c r="A44" s="37" t="inlineStr"/>
      <c r="B44" s="37" t="inlineStr">
        <is>
          <t>Tier 2 — À cultiver : IP 50–74 → Contact J+30, approche CFP ou réseau commun</t>
        </is>
      </c>
      <c r="C44" s="37" t="inlineStr">
        <is>
          <t>50–74</t>
        </is>
      </c>
    </row>
    <row r="45" ht="18" customHeight="1">
      <c r="A45" s="37" t="inlineStr"/>
      <c r="B45" s="37" t="inlineStr">
        <is>
          <t>Tier 3 — Réserve : IP &lt; 50 → CFP seulement, liste de réserve</t>
        </is>
      </c>
      <c r="C45" s="37" t="inlineStr">
        <is>
          <t>&lt;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2026-06-30T20:46:20Z</dcterms:created>
  <dcterms:modified xmlns:dcterms="http://purl.org/dc/terms/" xmlns:xsi="http://www.w3.org/2001/XMLSchema-instance" xsi:type="dcterms:W3CDTF">2026-06-30T20:46:20Z</dcterms:modified>
</cp:coreProperties>
</file>