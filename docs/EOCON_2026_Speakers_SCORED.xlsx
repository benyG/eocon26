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WORK\EOCON\EOCON26\"/>
    </mc:Choice>
  </mc:AlternateContent>
  <xr:revisionPtr revIDLastSave="0" documentId="13_ncr:1_{020D8989-56D1-4E0F-A618-F74B46EE760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peakers &amp; Scoring" sheetId="1" r:id="rId1"/>
    <sheet name="Grille de scoring" sheetId="2" r:id="rId2"/>
  </sheets>
  <definedNames>
    <definedName name="_xlnm._FilterDatabase" localSheetId="0" hidden="1">'Speakers &amp; Scoring'!$A$2:$V$115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1" i="2" l="1"/>
  <c r="T115" i="1"/>
  <c r="V115" i="1" s="1"/>
  <c r="T114" i="1"/>
  <c r="V114" i="1" s="1"/>
  <c r="T113" i="1"/>
  <c r="V113" i="1" s="1"/>
  <c r="T112" i="1"/>
  <c r="U112" i="1" s="1"/>
  <c r="T111" i="1"/>
  <c r="U111" i="1" s="1"/>
  <c r="T110" i="1"/>
  <c r="V110" i="1" s="1"/>
  <c r="T109" i="1"/>
  <c r="U109" i="1" s="1"/>
  <c r="T108" i="1"/>
  <c r="V108" i="1" s="1"/>
  <c r="T107" i="1"/>
  <c r="V107" i="1" s="1"/>
  <c r="T106" i="1"/>
  <c r="V106" i="1" s="1"/>
  <c r="T105" i="1"/>
  <c r="V105" i="1" s="1"/>
  <c r="T104" i="1"/>
  <c r="V104" i="1" s="1"/>
  <c r="T103" i="1"/>
  <c r="V103" i="1" s="1"/>
  <c r="T102" i="1"/>
  <c r="V102" i="1" s="1"/>
  <c r="T101" i="1"/>
  <c r="V101" i="1" s="1"/>
  <c r="T100" i="1"/>
  <c r="T99" i="1"/>
  <c r="V99" i="1" s="1"/>
  <c r="T98" i="1"/>
  <c r="V98" i="1" s="1"/>
  <c r="T97" i="1"/>
  <c r="U97" i="1" s="1"/>
  <c r="T96" i="1"/>
  <c r="V96" i="1" s="1"/>
  <c r="T95" i="1"/>
  <c r="V95" i="1" s="1"/>
  <c r="T94" i="1"/>
  <c r="V94" i="1" s="1"/>
  <c r="T93" i="1"/>
  <c r="U93" i="1" s="1"/>
  <c r="T92" i="1"/>
  <c r="V92" i="1" s="1"/>
  <c r="T91" i="1"/>
  <c r="V91" i="1" s="1"/>
  <c r="T90" i="1"/>
  <c r="V90" i="1" s="1"/>
  <c r="T89" i="1"/>
  <c r="V89" i="1" s="1"/>
  <c r="T88" i="1"/>
  <c r="V88" i="1" s="1"/>
  <c r="T87" i="1"/>
  <c r="V87" i="1" s="1"/>
  <c r="T86" i="1"/>
  <c r="V86" i="1" s="1"/>
  <c r="T85" i="1"/>
  <c r="V85" i="1" s="1"/>
  <c r="T84" i="1"/>
  <c r="T83" i="1"/>
  <c r="V83" i="1" s="1"/>
  <c r="T82" i="1"/>
  <c r="V82" i="1" s="1"/>
  <c r="T81" i="1"/>
  <c r="U81" i="1" s="1"/>
  <c r="T80" i="1"/>
  <c r="V80" i="1" s="1"/>
  <c r="T79" i="1"/>
  <c r="V79" i="1" s="1"/>
  <c r="T78" i="1"/>
  <c r="V78" i="1" s="1"/>
  <c r="T77" i="1"/>
  <c r="U77" i="1" s="1"/>
  <c r="T76" i="1"/>
  <c r="V76" i="1" s="1"/>
  <c r="T75" i="1"/>
  <c r="V75" i="1" s="1"/>
  <c r="T74" i="1"/>
  <c r="V74" i="1" s="1"/>
  <c r="T73" i="1"/>
  <c r="V73" i="1" s="1"/>
  <c r="T72" i="1"/>
  <c r="V72" i="1" s="1"/>
  <c r="T71" i="1"/>
  <c r="V71" i="1" s="1"/>
  <c r="T70" i="1"/>
  <c r="V70" i="1" s="1"/>
  <c r="T69" i="1"/>
  <c r="V69" i="1" s="1"/>
  <c r="T68" i="1"/>
  <c r="T67" i="1"/>
  <c r="U67" i="1" s="1"/>
  <c r="T66" i="1"/>
  <c r="V66" i="1" s="1"/>
  <c r="T65" i="1"/>
  <c r="U65" i="1" s="1"/>
  <c r="T64" i="1"/>
  <c r="V64" i="1" s="1"/>
  <c r="T63" i="1"/>
  <c r="V63" i="1" s="1"/>
  <c r="T62" i="1"/>
  <c r="V62" i="1" s="1"/>
  <c r="T61" i="1"/>
  <c r="U61" i="1" s="1"/>
  <c r="T60" i="1"/>
  <c r="V60" i="1" s="1"/>
  <c r="T59" i="1"/>
  <c r="V59" i="1" s="1"/>
  <c r="T58" i="1"/>
  <c r="V58" i="1" s="1"/>
  <c r="T57" i="1"/>
  <c r="V57" i="1" s="1"/>
  <c r="T56" i="1"/>
  <c r="U56" i="1" s="1"/>
  <c r="T55" i="1"/>
  <c r="V55" i="1" s="1"/>
  <c r="T54" i="1"/>
  <c r="V54" i="1" s="1"/>
  <c r="T53" i="1"/>
  <c r="V53" i="1" s="1"/>
  <c r="T52" i="1"/>
  <c r="T51" i="1"/>
  <c r="V51" i="1" s="1"/>
  <c r="T50" i="1"/>
  <c r="V50" i="1" s="1"/>
  <c r="T49" i="1"/>
  <c r="U49" i="1" s="1"/>
  <c r="T48" i="1"/>
  <c r="V48" i="1" s="1"/>
  <c r="T47" i="1"/>
  <c r="T46" i="1"/>
  <c r="V46" i="1" s="1"/>
  <c r="T45" i="1"/>
  <c r="U45" i="1" s="1"/>
  <c r="T44" i="1"/>
  <c r="V44" i="1" s="1"/>
  <c r="T43" i="1"/>
  <c r="V43" i="1" s="1"/>
  <c r="T42" i="1"/>
  <c r="V42" i="1" s="1"/>
  <c r="T41" i="1"/>
  <c r="V41" i="1" s="1"/>
  <c r="T40" i="1"/>
  <c r="V40" i="1" s="1"/>
  <c r="T39" i="1"/>
  <c r="V39" i="1" s="1"/>
  <c r="T38" i="1"/>
  <c r="V38" i="1" s="1"/>
  <c r="T37" i="1"/>
  <c r="V37" i="1" s="1"/>
  <c r="T36" i="1"/>
  <c r="T35" i="1"/>
  <c r="U35" i="1" s="1"/>
  <c r="T34" i="1"/>
  <c r="V34" i="1" s="1"/>
  <c r="T33" i="1"/>
  <c r="U33" i="1" s="1"/>
  <c r="T32" i="1"/>
  <c r="V32" i="1" s="1"/>
  <c r="T31" i="1"/>
  <c r="V31" i="1" s="1"/>
  <c r="T30" i="1"/>
  <c r="V30" i="1" s="1"/>
  <c r="T29" i="1"/>
  <c r="U29" i="1" s="1"/>
  <c r="T28" i="1"/>
  <c r="U28" i="1" s="1"/>
  <c r="T27" i="1"/>
  <c r="V27" i="1" s="1"/>
  <c r="T26" i="1"/>
  <c r="V26" i="1" s="1"/>
  <c r="T25" i="1"/>
  <c r="V25" i="1" s="1"/>
  <c r="T24" i="1"/>
  <c r="U24" i="1" s="1"/>
  <c r="T23" i="1"/>
  <c r="V23" i="1" s="1"/>
  <c r="T22" i="1"/>
  <c r="V22" i="1" s="1"/>
  <c r="T21" i="1"/>
  <c r="V21" i="1" s="1"/>
  <c r="T20" i="1"/>
  <c r="T19" i="1"/>
  <c r="V19" i="1" s="1"/>
  <c r="T18" i="1"/>
  <c r="V18" i="1" s="1"/>
  <c r="T17" i="1"/>
  <c r="U17" i="1" s="1"/>
  <c r="T16" i="1"/>
  <c r="V16" i="1" s="1"/>
  <c r="T15" i="1"/>
  <c r="V15" i="1" s="1"/>
  <c r="T14" i="1"/>
  <c r="V14" i="1" s="1"/>
  <c r="T13" i="1"/>
  <c r="U13" i="1" s="1"/>
  <c r="T12" i="1"/>
  <c r="U12" i="1" s="1"/>
  <c r="T11" i="1"/>
  <c r="V11" i="1" s="1"/>
  <c r="T10" i="1"/>
  <c r="V10" i="1" s="1"/>
  <c r="T9" i="1"/>
  <c r="V9" i="1" s="1"/>
  <c r="T8" i="1"/>
  <c r="V8" i="1" s="1"/>
  <c r="T7" i="1"/>
  <c r="U7" i="1" s="1"/>
  <c r="T6" i="1"/>
  <c r="V6" i="1" s="1"/>
  <c r="T5" i="1"/>
  <c r="V5" i="1" s="1"/>
  <c r="T4" i="1"/>
  <c r="V4" i="1" s="1"/>
  <c r="V28" i="1" l="1"/>
  <c r="U60" i="1"/>
  <c r="V109" i="1"/>
  <c r="U8" i="1"/>
  <c r="V33" i="1"/>
  <c r="U44" i="1"/>
  <c r="U72" i="1"/>
  <c r="V97" i="1"/>
  <c r="U88" i="1"/>
  <c r="V111" i="1"/>
  <c r="V49" i="1"/>
  <c r="U76" i="1"/>
  <c r="V17" i="1"/>
  <c r="V112" i="1"/>
  <c r="U108" i="1"/>
  <c r="U104" i="1"/>
  <c r="U113" i="1"/>
  <c r="V81" i="1"/>
  <c r="V12" i="1"/>
  <c r="U92" i="1"/>
  <c r="V65" i="1"/>
  <c r="U114" i="1"/>
  <c r="U51" i="1"/>
  <c r="U99" i="1"/>
  <c r="V36" i="1"/>
  <c r="U36" i="1"/>
  <c r="V100" i="1"/>
  <c r="U100" i="1"/>
  <c r="V93" i="1"/>
  <c r="V29" i="1"/>
  <c r="V45" i="1"/>
  <c r="V7" i="1"/>
  <c r="U14" i="1"/>
  <c r="U23" i="1"/>
  <c r="U30" i="1"/>
  <c r="U39" i="1"/>
  <c r="U46" i="1"/>
  <c r="U55" i="1"/>
  <c r="U62" i="1"/>
  <c r="U71" i="1"/>
  <c r="U78" i="1"/>
  <c r="U87" i="1"/>
  <c r="U94" i="1"/>
  <c r="U103" i="1"/>
  <c r="U19" i="1"/>
  <c r="V35" i="1"/>
  <c r="V20" i="1"/>
  <c r="U20" i="1"/>
  <c r="V47" i="1"/>
  <c r="U47" i="1"/>
  <c r="V68" i="1"/>
  <c r="U68" i="1"/>
  <c r="V13" i="1"/>
  <c r="V61" i="1"/>
  <c r="U40" i="1"/>
  <c r="V67" i="1"/>
  <c r="U110" i="1"/>
  <c r="V24" i="1"/>
  <c r="V56" i="1"/>
  <c r="U84" i="1"/>
  <c r="V84" i="1"/>
  <c r="V77" i="1"/>
  <c r="U105" i="1"/>
  <c r="U4" i="1"/>
  <c r="U52" i="1"/>
  <c r="V52" i="1"/>
  <c r="U25" i="1"/>
  <c r="U83" i="1"/>
  <c r="U9" i="1"/>
  <c r="U41" i="1"/>
  <c r="U57" i="1"/>
  <c r="U73" i="1"/>
  <c r="U89" i="1"/>
  <c r="U18" i="1"/>
  <c r="U34" i="1"/>
  <c r="U50" i="1"/>
  <c r="U66" i="1"/>
  <c r="U82" i="1"/>
  <c r="U98" i="1"/>
  <c r="U106" i="1"/>
  <c r="U31" i="1"/>
  <c r="U79" i="1"/>
  <c r="U95" i="1"/>
  <c r="U107" i="1"/>
  <c r="U15" i="1"/>
  <c r="U63" i="1"/>
  <c r="U10" i="1"/>
  <c r="U26" i="1"/>
  <c r="U42" i="1"/>
  <c r="U58" i="1"/>
  <c r="U74" i="1"/>
  <c r="U90" i="1"/>
  <c r="U5" i="1"/>
  <c r="U21" i="1"/>
  <c r="U37" i="1"/>
  <c r="U53" i="1"/>
  <c r="U69" i="1"/>
  <c r="U85" i="1"/>
  <c r="U101" i="1"/>
  <c r="U16" i="1"/>
  <c r="U32" i="1"/>
  <c r="U48" i="1"/>
  <c r="U64" i="1"/>
  <c r="U80" i="1"/>
  <c r="U96" i="1"/>
  <c r="U11" i="1"/>
  <c r="U27" i="1"/>
  <c r="U43" i="1"/>
  <c r="U59" i="1"/>
  <c r="U75" i="1"/>
  <c r="U91" i="1"/>
  <c r="U6" i="1"/>
  <c r="U22" i="1"/>
  <c r="U38" i="1"/>
  <c r="U54" i="1"/>
  <c r="U70" i="1"/>
  <c r="U86" i="1"/>
  <c r="U102" i="1"/>
  <c r="U115" i="1"/>
</calcChain>
</file>

<file path=xl/sharedStrings.xml><?xml version="1.0" encoding="utf-8"?>
<sst xmlns="http://schemas.openxmlformats.org/spreadsheetml/2006/main" count="1273" uniqueCount="619">
  <si>
    <t>IDENTITÉ</t>
  </si>
  <si>
    <t>PROFIL SPEAKER</t>
  </si>
  <si>
    <t>P1 Pertinence intl.</t>
  </si>
  <si>
    <t>P2 Alignement EOCON</t>
  </si>
  <si>
    <t>P3 Africanité / Diaspora</t>
  </si>
  <si>
    <t>P4 Budget</t>
  </si>
  <si>
    <t>P5 Format</t>
  </si>
  <si>
    <t>P6 Visibilité</t>
  </si>
  <si>
    <t>INDICE DE PRIORITÉ</t>
  </si>
  <si>
    <t>#</t>
  </si>
  <si>
    <t>Nom</t>
  </si>
  <si>
    <t>Région</t>
  </si>
  <si>
    <t>Pays</t>
  </si>
  <si>
    <t>Langue(s)</t>
  </si>
  <si>
    <t>Organisation / Poste</t>
  </si>
  <si>
    <t>Format conseillé</t>
  </si>
  <si>
    <t>Thématique</t>
  </si>
  <si>
    <t>Cachet / Budget</t>
  </si>
  <si>
    <t>Email</t>
  </si>
  <si>
    <t>LinkedIn / Site Web</t>
  </si>
  <si>
    <t>Statut</t>
  </si>
  <si>
    <t>Source</t>
  </si>
  <si>
    <t>P1 — Pertinence internationale
(25%)</t>
  </si>
  <si>
    <t>P2 — Alignement thématique EOCON
(20%)</t>
  </si>
  <si>
    <t>P3 — Africanité / Diaspora
(20%)</t>
  </si>
  <si>
    <t>P4 — Accessibilité &amp; Budget
(15%)</t>
  </si>
  <si>
    <t>P5 — Adéquation format
(10%)</t>
  </si>
  <si>
    <t>P6 — Visibilité &amp; Rayonnement
(10%)</t>
  </si>
  <si>
    <t>IP
(/100)</t>
  </si>
  <si>
    <t>TIER</t>
  </si>
  <si>
    <t>Séquence contact</t>
  </si>
  <si>
    <t>0–29 local | 30–59 régional | 60–79 intl. | 80–100 top</t>
  </si>
  <si>
    <t>0–49 éloigné | 50–69 partiel | 70–89 bon | 90–100 parfait</t>
  </si>
  <si>
    <t>0–29 aucun | 30–59 indirect | 70–89 diaspora | 90–100 Africain engagé</t>
  </si>
  <si>
    <t>0–19 bureau speakers | 20–39 payant | 40–69 inconnu | 70–89 frais | 90–100 gratuit</t>
  </si>
  <si>
    <t>0–49 doublon | 50–69 ok | 70–89 bon | 90–100 niche unique</t>
  </si>
  <si>
    <t>0–29 discret | 30–59 modéré | 60–79 actif | 80–100 très visible</t>
  </si>
  <si>
    <t>Jean-Robert Hountomey</t>
  </si>
  <si>
    <t>Afrique</t>
  </si>
  <si>
    <t>Bénin (Cotonou)</t>
  </si>
  <si>
    <t>FR, EN</t>
  </si>
  <si>
    <t>Keynote / Panel</t>
  </si>
  <si>
    <t>Menaces émergentes en Afrique, GRC, CERT/CSIRT, vulnérabilités</t>
  </si>
  <si>
    <t>Inconnu, probablement représentation officielle/gratuit</t>
  </si>
  <si>
    <t>Via AfricaCERT / RSA Conference profile / LinkedIn</t>
  </si>
  <si>
    <t>À qualifier</t>
  </si>
  <si>
    <t>Recherche manuelle / web</t>
  </si>
  <si>
    <t>Confidence Staveley</t>
  </si>
  <si>
    <t>Afrique/Diaspora</t>
  </si>
  <si>
    <t>Nigeria / USA (Atlanta)</t>
  </si>
  <si>
    <t>EN</t>
  </si>
  <si>
    <t>Founder &amp; Executive Director — CyberSafe Foundation</t>
  </si>
  <si>
    <t>Keynote international</t>
  </si>
  <si>
    <t>AppSec/API, sensibilisation, IA, diversité</t>
  </si>
  <si>
    <t>Payant — 10 000 à 20 000 $ (live)</t>
  </si>
  <si>
    <t>Non trouvé</t>
  </si>
  <si>
    <t>https://www.linkedin.com/in/confidencestaveley ; https://confidencestaveley.com/</t>
  </si>
  <si>
    <t>Recherche manuelle / Vague1</t>
  </si>
  <si>
    <t>Dr Bright Gameli Mawudor</t>
  </si>
  <si>
    <t>Kenya</t>
  </si>
  <si>
    <t>EN, SW</t>
  </si>
  <si>
    <t>Keynote / Workshop</t>
  </si>
  <si>
    <t>Offensive Security, Web3, formation</t>
  </si>
  <si>
    <t>Vague2 - vérifié (Cyberweek Africa)</t>
  </si>
  <si>
    <t>Dr Karim Ganame</t>
  </si>
  <si>
    <t>Afrique/Canada</t>
  </si>
  <si>
    <t>Canada (Montréal, QC) — origine Burkina Faso</t>
  </si>
  <si>
    <t>Keynote / Talk technique</t>
  </si>
  <si>
    <t>IA &amp; cybersécurité, détection menaces, SOC hybride</t>
  </si>
  <si>
    <t>Payant probable, ouverture Afrique plausible</t>
  </si>
  <si>
    <t>streamscan.ai (contact) — enseigne à Polytechnique Montréal</t>
  </si>
  <si>
    <t>Ouanilo Medegan Fagla</t>
  </si>
  <si>
    <t>Bénin</t>
  </si>
  <si>
    <t>Keynote institutionnel / Panel</t>
  </si>
  <si>
    <t>Souveraineté numérique, lutte cybercriminalité</t>
  </si>
  <si>
    <t>Gratuit probable</t>
  </si>
  <si>
    <t>linkedin.com/in/medegan</t>
  </si>
  <si>
    <t>Vandana Verma Sehgal</t>
  </si>
  <si>
    <t>Asie</t>
  </si>
  <si>
    <t>Inde (Bangalore)</t>
  </si>
  <si>
    <t>EN, HI</t>
  </si>
  <si>
    <t>Keynote / Talk / Workshop</t>
  </si>
  <si>
    <t>AppSec, DevSecOps, IA &amp; cybersécurité (LLM/MCP security), Cloud Security</t>
  </si>
  <si>
    <t>Gratuit — toutes ses conférences sont pro bono</t>
  </si>
  <si>
    <t>infosecvandana.com, in.linkedin.com/in/vandana-verma, @InfosecVandana</t>
  </si>
  <si>
    <t>Kerissa Varma</t>
  </si>
  <si>
    <t>Amérique / Afrique</t>
  </si>
  <si>
    <t>USA (Redmond) / Afrique du Sud</t>
  </si>
  <si>
    <t>Chief Security Advisor Africa; Founder/President WiCyS Southern Africa — Microsoft Africa / WiCyS Southern Africa</t>
  </si>
  <si>
    <t>Leadership cyber, women in cyber</t>
  </si>
  <si>
    <t>Inconnu, probablement élevé</t>
  </si>
  <si>
    <t>[email protected] (WiCyS affiliate)</t>
  </si>
  <si>
    <t>https://www.linkedin.com/in/kerissavarma/ ; https://www.wicys.org/wicys-southern-africa-affiliate/</t>
  </si>
  <si>
    <t>Vague1 - vérifié</t>
  </si>
  <si>
    <t>Landry Nguetsop, CISA</t>
  </si>
  <si>
    <t>Cameroun (Douala)</t>
  </si>
  <si>
    <t>Talk / Panel</t>
  </si>
  <si>
    <t>GRC, Privacy, Gouvernance</t>
  </si>
  <si>
    <t>Probablement gratuit</t>
  </si>
  <si>
    <t>linkedin.com/in/landry-nguetsop — Orange Money Cameroun</t>
  </si>
  <si>
    <t>Clément Domingo ("SAXX")</t>
  </si>
  <si>
    <t>Sénégal / France (mobile)</t>
  </si>
  <si>
    <t>Sensibilisation, numérique de confiance</t>
  </si>
  <si>
    <t>Inconnu, probablement modéré</t>
  </si>
  <si>
    <t>sn.linkedin.com/in/clementdomingo</t>
  </si>
  <si>
    <t>Elberson Tef Djogap</t>
  </si>
  <si>
    <t>Cameroun</t>
  </si>
  <si>
    <t>Talk technique</t>
  </si>
  <si>
    <t>OT/ICS/SCADA, pentest industriel</t>
  </si>
  <si>
    <t>Gratuit quasi-certain</t>
  </si>
  <si>
    <t>Via réseau EOCON / LinkedIn Cameroun</t>
  </si>
  <si>
    <t>Hanniel Jafaru</t>
  </si>
  <si>
    <t>Nigeria</t>
  </si>
  <si>
    <t>IA Governance, CSEAN, Afrique</t>
  </si>
  <si>
    <t>Mercy Omolo</t>
  </si>
  <si>
    <t>Former President — ISACA Kenya</t>
  </si>
  <si>
    <t>GRC, audit, risk</t>
  </si>
  <si>
    <t>Inconnu, probablement moyen</t>
  </si>
  <si>
    <t>Non trouvé ; https://www.cyberweekafrica.com/</t>
  </si>
  <si>
    <t>Lydie Ngo Nogol</t>
  </si>
  <si>
    <t>Keynote / Panel stratégique</t>
  </si>
  <si>
    <t>GRC, leadership cyber, CISO</t>
  </si>
  <si>
    <t>Inconnu, à négocier</t>
  </si>
  <si>
    <t>linkedin.com/in/lydie-ngonogol — CISO PwC Afrique francophone subsaharienne</t>
  </si>
  <si>
    <t>Christine Izuakor, PhD, CISSP</t>
  </si>
  <si>
    <t>USA</t>
  </si>
  <si>
    <t>Critical infrastructure, leadership</t>
  </si>
  <si>
    <t>Payant probable</t>
  </si>
  <si>
    <t>cybersecuritysummit.com / LinkedIn</t>
  </si>
  <si>
    <t>Danstan Akwiri</t>
  </si>
  <si>
    <t>VP Cybersecurity — Cyberpro Global</t>
  </si>
  <si>
    <t>AppSec, IA, ISO 27001</t>
  </si>
  <si>
    <t>Non trouvé ; https://cyberweek.africa/</t>
  </si>
  <si>
    <t>Dr Martin Koyabe</t>
  </si>
  <si>
    <t>Kenya / International</t>
  </si>
  <si>
    <t>Coopération internationale, capacity building</t>
  </si>
  <si>
    <t>Dr Gaston Elongha Lowolo</t>
  </si>
  <si>
    <t>USA — origine RDC</t>
  </si>
  <si>
    <t>Talk technique / académique</t>
  </si>
  <si>
    <t>IA en cybersécurité, détection phishing, santé</t>
  </si>
  <si>
    <t>À identifier — relayé par mediacongo.net, ACP, lesnews.cd</t>
  </si>
  <si>
    <t>Joylynn Kirui</t>
  </si>
  <si>
    <t>Head of Information Security — Prime Bank Africa</t>
  </si>
  <si>
    <t>Sensibilisation, women in cyber</t>
  </si>
  <si>
    <t>Steve Mutie</t>
  </si>
  <si>
    <t>Senior Offensive Security Specialist — Inconnu</t>
  </si>
  <si>
    <t>Offensive Security, malware analysis</t>
  </si>
  <si>
    <t>James Yogo</t>
  </si>
  <si>
    <t>Deputy Director, Cyber Security — Central Bank of Kenya</t>
  </si>
  <si>
    <t>Cybersécurité bancaire</t>
  </si>
  <si>
    <t>Inconnu, probablement institutionnel</t>
  </si>
  <si>
    <t>Bonface Asiligwa</t>
  </si>
  <si>
    <t>President — ISACA Kenya</t>
  </si>
  <si>
    <t>GRC, audit</t>
  </si>
  <si>
    <t>Sami Khoury</t>
  </si>
  <si>
    <t>Canada</t>
  </si>
  <si>
    <t>Canada (Ottawa, ON)</t>
  </si>
  <si>
    <t>EN, FR</t>
  </si>
  <si>
    <t>GRC, Cloud/Infra Security, Menaces émergentes, politique cyber nationale</t>
  </si>
  <si>
    <t>Inconnu, probablement gratuit (représentation officielle)</t>
  </si>
  <si>
    <t>Via Gouvernement du Canada / RSA Conference profile</t>
  </si>
  <si>
    <t>Peter Orifah</t>
  </si>
  <si>
    <t>Infrastructure &amp; Cybercrime Specialist — Inconnu</t>
  </si>
  <si>
    <t>Cybercrime, infrastructure</t>
  </si>
  <si>
    <t>Ekeuh Axel</t>
  </si>
  <si>
    <t>Threat Intelligence, Vulnerability Mgmt, IR</t>
  </si>
  <si>
    <t>Via réseau EOCON / LinkedIn</t>
  </si>
  <si>
    <t>Dr Sanjay Bahl</t>
  </si>
  <si>
    <t>Inde</t>
  </si>
  <si>
    <t>Keynote institutionnel</t>
  </si>
  <si>
    <t>GRC, CERT national, politique cyber</t>
  </si>
  <si>
    <t>Dr Katherine Getao</t>
  </si>
  <si>
    <t>GRC, souveraineté numérique, e-gov</t>
  </si>
  <si>
    <t>Dr Prisca Oluoch</t>
  </si>
  <si>
    <t>GRC, formation, gouvernance KSG</t>
  </si>
  <si>
    <t>Dr Josphine Mwanzia</t>
  </si>
  <si>
    <t>GRC, formation, KSG</t>
  </si>
  <si>
    <t>Prof. Nura Mohamed</t>
  </si>
  <si>
    <t>Director General — Kenya School of Government</t>
  </si>
  <si>
    <t>Gouvernance, formation</t>
  </si>
  <si>
    <t>Inconnu, institutionnel</t>
  </si>
  <si>
    <t>directorgeneral@ksg.ac.ke</t>
  </si>
  <si>
    <t>Mutheu Nyagah Khimulu</t>
  </si>
  <si>
    <t>Cybersecurity Lawyer — Inconnu</t>
  </si>
  <si>
    <t>Droit cyber, GRC</t>
  </si>
  <si>
    <t>Shiphrah Wairima</t>
  </si>
  <si>
    <t>VP — Global Council for Responsible AI – KE</t>
  </si>
  <si>
    <t>IA responsable, gouvernance</t>
  </si>
  <si>
    <t>Prof. Andrew Kahonge</t>
  </si>
  <si>
    <t>Associate Professor, Computer Science — University of Nairobi</t>
  </si>
  <si>
    <t>Talk académique</t>
  </si>
  <si>
    <t>Recherche, formation universitaire</t>
  </si>
  <si>
    <t>Inconnu, académique/moyen</t>
  </si>
  <si>
    <t>Non trouvé ; https://www.uonbi.ac.ke/</t>
  </si>
  <si>
    <t>John Kipchumba Tanui, CBS</t>
  </si>
  <si>
    <t>Politique ICT nationale</t>
  </si>
  <si>
    <t>Keith Makan</t>
  </si>
  <si>
    <t>Afrique du Sud</t>
  </si>
  <si>
    <t>AppSec/API (GraphQL pentest)</t>
  </si>
  <si>
    <t>Gratuit</t>
  </si>
  <si>
    <t>Via pretalx BSides Cape Town</t>
  </si>
  <si>
    <t>Gabrielle Botbol</t>
  </si>
  <si>
    <t>Canada (Montréal/Laval)</t>
  </si>
  <si>
    <t>Workshop / Talk</t>
  </si>
  <si>
    <t>Red Teaming / Offensive Security, AppSec (mobile/API), IA en cybersécurité, sensibilisation</t>
  </si>
  <si>
    <t>Inconnu, probablement prise en charge ou cachet modéré</t>
  </si>
  <si>
    <t>linkedin.com/in/gabriellebotbol, gabrielleb.fr/blog</t>
  </si>
  <si>
    <t>Eng. Badar Al Salehi</t>
  </si>
  <si>
    <t>Moyen-Orient</t>
  </si>
  <si>
    <t>Oman</t>
  </si>
  <si>
    <t>AR, EN</t>
  </si>
  <si>
    <t>Director General; Chair OIC-CERT — Oman National CERT / OIC-CERT</t>
  </si>
  <si>
    <t>CERT national, coopération régionale</t>
  </si>
  <si>
    <t>Via Oman National CERT / OIC-CERT</t>
  </si>
  <si>
    <t>Non trouvé ; https://www.oic-cert.org/</t>
  </si>
  <si>
    <t>Dr David Njoga</t>
  </si>
  <si>
    <t>Cyber Governance, recherche</t>
  </si>
  <si>
    <t>Shain Raheem</t>
  </si>
  <si>
    <t>Country &amp; Regional Leader EA — Cisco</t>
  </si>
  <si>
    <t>Keynote</t>
  </si>
  <si>
    <t>Cloud, infrastructure réseau</t>
  </si>
  <si>
    <t>Inconnu, sponsor/vendor</t>
  </si>
  <si>
    <t>Jason Jordaan</t>
  </si>
  <si>
    <t>Digital Forensics, droit &amp; cyber</t>
  </si>
  <si>
    <t>José M. Fernandez, ing., PhD</t>
  </si>
  <si>
    <t>Canada (Montréal, QC)</t>
  </si>
  <si>
    <t>Keynote / Talk académique</t>
  </si>
  <si>
    <t>IA &amp; cybersécurité, infrastructures critiques, cyberphysique</t>
  </si>
  <si>
    <t>Modéré/négociable</t>
  </si>
  <si>
    <t>dandurand.uqam.ca, ca.linkedin.com/in/jose-m-fernandez-638751125</t>
  </si>
  <si>
    <t>Dr Raymond Onuoha</t>
  </si>
  <si>
    <t>Nigeria (Lagos)</t>
  </si>
  <si>
    <t>Privacy, GRC, Menaces émergentes en Afrique, politique numérique</t>
  </si>
  <si>
    <t>Inconnu, probablement gratuit (cadre académique)</t>
  </si>
  <si>
    <t>Lagos Business School / ResearchGate / linkedin.com/in/raymond-onuoha-56463670</t>
  </si>
  <si>
    <t>Mikko Hyppönen</t>
  </si>
  <si>
    <t>Europe</t>
  </si>
  <si>
    <t>Finlande</t>
  </si>
  <si>
    <t>FI, EN</t>
  </si>
  <si>
    <t>Chief Research Officer / security researcher — Sensofusion / ex-WithSecure/F-Secure</t>
  </si>
  <si>
    <t>Talk / Keynote</t>
  </si>
  <si>
    <t>Malware, recherche menaces, IA</t>
  </si>
  <si>
    <t>Inconnu, probablement très élevé</t>
  </si>
  <si>
    <t>Via speaker bureau</t>
  </si>
  <si>
    <t>https://www.linkedin.com/in/hypponen/ ; https://mikko.com/</t>
  </si>
  <si>
    <t>Cheng-Da Tsai (Orange Tsai)</t>
  </si>
  <si>
    <t>Taiwan</t>
  </si>
  <si>
    <t>EN, ZH</t>
  </si>
  <si>
    <t>AppSec, 0-day research, Pwn2Own champion</t>
  </si>
  <si>
    <t>Zinet Kemal</t>
  </si>
  <si>
    <t>Amérique du Nord</t>
  </si>
  <si>
    <t>USA (Minnesota) — origine Éthiopie</t>
  </si>
  <si>
    <t>Talk / Lightning</t>
  </si>
  <si>
    <t>Sensibilisation / Culture sécu, Privacy, diversité, cybersécurité pour enfants</t>
  </si>
  <si>
    <t>Inconnu, probablement intervention en ligne/frais</t>
  </si>
  <si>
    <t>zinetkemal.com, LinkedIn</t>
  </si>
  <si>
    <t>Jen Easterly</t>
  </si>
  <si>
    <t>Amérique</t>
  </si>
  <si>
    <t>CEO; former CISA Director — RSAC</t>
  </si>
  <si>
    <t>Cyber policy, leadership, ex-directrice CISA</t>
  </si>
  <si>
    <t>Via RSAC</t>
  </si>
  <si>
    <t>https://www.linkedin.com/in/jen-easterly ; https://www.rsaconference.com/</t>
  </si>
  <si>
    <t>Eva Galperin</t>
  </si>
  <si>
    <t>Director of Cybersecurity — Electronic Frontier Foundation</t>
  </si>
  <si>
    <t>Privacy, stalkerware, EFF</t>
  </si>
  <si>
    <t>Via EFF</t>
  </si>
  <si>
    <t>https://x.com/evacide ; https://www.eff.org/about/staff/eva-galperin</t>
  </si>
  <si>
    <t>John Mutunga</t>
  </si>
  <si>
    <t>Founder and CEO — Cyberpro Global</t>
  </si>
  <si>
    <t>Politique cyber, écosystème</t>
  </si>
  <si>
    <t>Inconnu, probablement moyen/élevé</t>
  </si>
  <si>
    <t>reg@cwa.ke</t>
  </si>
  <si>
    <t>Nancy Nderi</t>
  </si>
  <si>
    <t>Cybersecurity Consultant — Black Code</t>
  </si>
  <si>
    <t>Cybersécurité, conseil</t>
  </si>
  <si>
    <t>Maryam Ahmed, PhD</t>
  </si>
  <si>
    <t>Canada (Sudbury, ON)</t>
  </si>
  <si>
    <t>Talk académique / Panel</t>
  </si>
  <si>
    <t>AppSec, sécurité BDD, diaspora</t>
  </si>
  <si>
    <t>Inconnu, probablement gratuit</t>
  </si>
  <si>
    <t>linkedin.com/in/maryam-ahmed-phd-94896144 — Cambrian College</t>
  </si>
  <si>
    <t>David Darfour</t>
  </si>
  <si>
    <t>Ghana</t>
  </si>
  <si>
    <t>Workshop hands-on</t>
  </si>
  <si>
    <t>Cloud Security, outils open source (Wazuh, Snort)</t>
  </si>
  <si>
    <t>linkedin.com/in/david-darfour-463798196 — daviddarfour.com</t>
  </si>
  <si>
    <t>Vladimir Aman, CISSP</t>
  </si>
  <si>
    <t>Côte d'Ivoire (Abidjan)</t>
  </si>
  <si>
    <t>Cybersécurité opérationnelle, régulation</t>
  </si>
  <si>
    <t>ci.linkedin.com/in/vladimir-aman-cissp</t>
  </si>
  <si>
    <t>Jared Naude</t>
  </si>
  <si>
    <t>Cloud Security</t>
  </si>
  <si>
    <t>Lesley Carhart</t>
  </si>
  <si>
    <t>Océanie</t>
  </si>
  <si>
    <t>Australie (ex-USA)</t>
  </si>
  <si>
    <t>ICS/DFIR practitioner &amp; instructor — Dragos / SANS (selon sources publiques)</t>
  </si>
  <si>
    <t>Keynote / Workshop / Training</t>
  </si>
  <si>
    <t>OT/ICS, Incident Response, formation SANS</t>
  </si>
  <si>
    <t>Payant (commercial), gratuit (communautaire BSides)</t>
  </si>
  <si>
    <t>Via SANS/Dragos</t>
  </si>
  <si>
    <t>https://www.linkedin.com/in/lcarhart ; https://www.sans.org/profiles/lesley-carhart/</t>
  </si>
  <si>
    <t>Katie Moussouris</t>
  </si>
  <si>
    <t>Founder &amp; CEO — Luta Security</t>
  </si>
  <si>
    <t>Vulnerability disclosure, bug bounty</t>
  </si>
  <si>
    <t>Via Luta Security</t>
  </si>
  <si>
    <t>https://www.linkedin.com/in/k8em0/ ; https://www.lutasecurity.com/founder-ceo</t>
  </si>
  <si>
    <t>Sharon Knowles</t>
  </si>
  <si>
    <t>Talk technique / atelier</t>
  </si>
  <si>
    <t>OSINT</t>
  </si>
  <si>
    <t>Richard Larose</t>
  </si>
  <si>
    <t>Canada (Ottawa, ON — CCCS)</t>
  </si>
  <si>
    <t>Politique cyber nationale, ICS/OT</t>
  </si>
  <si>
    <t>Via Centre canadien pour la cybersécurité (cyber.gc.ca)</t>
  </si>
  <si>
    <t>Magda Chelly, PhD, CISSP</t>
  </si>
  <si>
    <t>Singapour (origine Tunisie/Pologne)</t>
  </si>
  <si>
    <t>EN, FR, PL, IT, AR</t>
  </si>
  <si>
    <t>GRC, Privacy, Cloud/Infra Security, IA en cybersécurité, diversité</t>
  </si>
  <si>
    <t>Payant — cachet professionnel (bureau BigSpeak)</t>
  </si>
  <si>
    <t>Via bigspeak.com, LinkedIn, Medium @m49d4ch3lly</t>
  </si>
  <si>
    <t>Shubham Mittal</t>
  </si>
  <si>
    <t>Talk / Workshop</t>
  </si>
  <si>
    <t>Reconnaissance/OSINT, Threat Intelligence, outils open source</t>
  </si>
  <si>
    <t>Inconnu, probablement prise en charge frais</t>
  </si>
  <si>
    <t>in.linkedin.com/in/upgoingstar, @upgoingstar</t>
  </si>
  <si>
    <t>Moses Kariuki</t>
  </si>
  <si>
    <t>GRC Professional — Inconnu</t>
  </si>
  <si>
    <t>GRC</t>
  </si>
  <si>
    <t>Inconnu, probablement bas/moyen</t>
  </si>
  <si>
    <t>Madinah S. Ali</t>
  </si>
  <si>
    <t>USA (origine Afrique de l'Est)</t>
  </si>
  <si>
    <t>President &amp; Co-Founder — Safe PC</t>
  </si>
  <si>
    <t>Diaspora, entrepreneuriat sécurité</t>
  </si>
  <si>
    <t>Steve Kariuki</t>
  </si>
  <si>
    <t>Network Traffic Analyst — Profitap</t>
  </si>
  <si>
    <t>Analyse de trafic réseau</t>
  </si>
  <si>
    <t>Sarah Armstrong-Smith</t>
  </si>
  <si>
    <t>Royaume-Uni (Londres)</t>
  </si>
  <si>
    <t>IA en cybersécurité, GRC, Sensibilisation, gestion de crise</t>
  </si>
  <si>
    <t>Payant — cachet élevé (plusieurs bureaux: Champions Speakers, A-Speakers, London Speaker Bureau)</t>
  </si>
  <si>
    <t>Via champions-speakers.co.uk, a-speakers.com</t>
  </si>
  <si>
    <t>Karsten Nohl</t>
  </si>
  <si>
    <t>Allemagne</t>
  </si>
  <si>
    <t>DE, EN</t>
  </si>
  <si>
    <t>Security researcher; founder — SRLabs / Allurity</t>
  </si>
  <si>
    <t>Mobile/Telecom security, GSM hacking</t>
  </si>
  <si>
    <t>Via SRLabs / speaker bureau</t>
  </si>
  <si>
    <t>https://www.linkedin.com/in/karsten-nohl/ ; https://srlabs.de/</t>
  </si>
  <si>
    <t>Adam Shostack</t>
  </si>
  <si>
    <t>Threat modeling expert — Shostack + Associates</t>
  </si>
  <si>
    <t>Threat Modeling</t>
  </si>
  <si>
    <t>Via personal site</t>
  </si>
  <si>
    <t>https://www.linkedin.com/in/adamshostack/ ; https://shostack.org/</t>
  </si>
  <si>
    <t>Alisa Esage</t>
  </si>
  <si>
    <t>USA (origine Russie/Ukraine)</t>
  </si>
  <si>
    <t>EN, RU</t>
  </si>
  <si>
    <t>Founder — Zero Day Engineering</t>
  </si>
  <si>
    <t>Talk technique / Workshop</t>
  </si>
  <si>
    <t>Exploit development, vulnerability research</t>
  </si>
  <si>
    <t>Via Zero Day Engineering</t>
  </si>
  <si>
    <t>Non trouvé ; Non trouvé</t>
  </si>
  <si>
    <t>Jessica Hunter</t>
  </si>
  <si>
    <t>Australie</t>
  </si>
  <si>
    <t>Ambassador for Cyber Affairs and Critical Technology — Government of Australia</t>
  </si>
  <si>
    <t>Cyber diplomacy, politique internationale</t>
  </si>
  <si>
    <t>Via Australian DFAT</t>
  </si>
  <si>
    <t>Non trouvé ; https://www.dfat.gov.au/</t>
  </si>
  <si>
    <t>LTG Michelle McGuinness</t>
  </si>
  <si>
    <t>National Cyber Security Coordinator — Australian Government</t>
  </si>
  <si>
    <t>Cyber policy, coordination nationale</t>
  </si>
  <si>
    <t>Via Australian Government</t>
  </si>
  <si>
    <t>Non trouvé ; https://www.homeaffairs.gov.au/</t>
  </si>
  <si>
    <t>Baptiste Robert (Benkow / fs0c131y)</t>
  </si>
  <si>
    <t>France (Toulouse)</t>
  </si>
  <si>
    <t>Threat Intelligence, Forensics/DFIR, recherche de vulnérabilités</t>
  </si>
  <si>
    <t>Twitter @benkow_ / LinkedIn</t>
  </si>
  <si>
    <t>Dr Guy-Vincent Jourdan</t>
  </si>
  <si>
    <t>IA en cybersécurité, Cyber-menaces émergentes, simulation de crise</t>
  </si>
  <si>
    <t>Inconnu, probablement prise en charge académique</t>
  </si>
  <si>
    <t>Université d'Ottawa / LinkedIn</t>
  </si>
  <si>
    <t>Dr Jessica Barker MBE</t>
  </si>
  <si>
    <t>Royaume-Uni</t>
  </si>
  <si>
    <t>Co-Founder &amp; Co-CEO — Cygenta</t>
  </si>
  <si>
    <t>Keynote / Talk</t>
  </si>
  <si>
    <t>Human risk, sensibilisation</t>
  </si>
  <si>
    <t>Via Cygenta / speaker bureau</t>
  </si>
  <si>
    <t>https://www.linkedin.com/in/jessica-barker ; https://www.cygenta.co.uk/jess-bio</t>
  </si>
  <si>
    <t>Stephanie Crowe</t>
  </si>
  <si>
    <t>Head of ACSC — Australian Cyber Security Centre</t>
  </si>
  <si>
    <t>National CERT, ACSC</t>
  </si>
  <si>
    <t>Via ACSC</t>
  </si>
  <si>
    <t>Non trouvé ; https://www.cyber.gov.au/</t>
  </si>
  <si>
    <t>Theophilus Lumor</t>
  </si>
  <si>
    <t>Computer Data/Network Security — Inconnu</t>
  </si>
  <si>
    <t>Sécurité réseau et données</t>
  </si>
  <si>
    <t>Inconnu</t>
  </si>
  <si>
    <t>Thomas Schmidt</t>
  </si>
  <si>
    <t>OT/ICS/SCADA, automatisation des advisories, SBOM</t>
  </si>
  <si>
    <t>Via BSI Allemagne / FIRST.org</t>
  </si>
  <si>
    <t>Gérôme Billois</t>
  </si>
  <si>
    <t>France (Paris)</t>
  </si>
  <si>
    <t>GRC, Menaces émergentes, Gestion de crise, IA en cybersécurité</t>
  </si>
  <si>
    <t>Inconnu, probablement prise en charge cabinet</t>
  </si>
  <si>
    <t>fr.linkedin.com/in/gbillois</t>
  </si>
  <si>
    <t>Roger Dingledine</t>
  </si>
  <si>
    <t>Co-Founder — Tor Project</t>
  </si>
  <si>
    <t>Privacy, anonymat, fondateur Tor</t>
  </si>
  <si>
    <t>Via Tor Project</t>
  </si>
  <si>
    <t>https://www.linkedin.com/in/roger-dingledine-3452823/ ; https://www.torproject.org/</t>
  </si>
  <si>
    <t>Keren Elazari</t>
  </si>
  <si>
    <t>Moyen-Orient / Asie</t>
  </si>
  <si>
    <t>Israël</t>
  </si>
  <si>
    <t>HE, EN</t>
  </si>
  <si>
    <t>Cybersecurity analyst; speaker — Independent / Gigaom / Building Cyber Resilience (sources variables)</t>
  </si>
  <si>
    <t>Hacker culture, sensibilisation</t>
  </si>
  <si>
    <t>Via site/speaker bureau</t>
  </si>
  <si>
    <t>https://www.linkedin.com/in/kerenelazari/ ; https://k3r3n3.com/</t>
  </si>
  <si>
    <t>Lenny Zeltser</t>
  </si>
  <si>
    <t>Cybersecurity leader, author, instructor — Zeltser / SANS / Axonius (sources variables)</t>
  </si>
  <si>
    <t>Malware analysis, incident response</t>
  </si>
  <si>
    <t>https://www.linkedin.com/in/lennyzeltser/ ; https://zeltser.com/</t>
  </si>
  <si>
    <t>Daniel Miessler</t>
  </si>
  <si>
    <t>Founder; AI/Security researcher — Unsupervised Learning</t>
  </si>
  <si>
    <t>IA &amp; cybersécurité, essayiste</t>
  </si>
  <si>
    <t>Via Unsupervised Learning</t>
  </si>
  <si>
    <t>https://www.linkedin.com/in/danielmiessler/ ; https://danielmiessler.com/</t>
  </si>
  <si>
    <t>Emmanuel Kimeu</t>
  </si>
  <si>
    <t>Security and Audit Control — MICDE</t>
  </si>
  <si>
    <t>Talk</t>
  </si>
  <si>
    <t>Audit, sécurité</t>
  </si>
  <si>
    <t>Victor Wanyama</t>
  </si>
  <si>
    <t>Cybersecurity Expert — Inconnu</t>
  </si>
  <si>
    <t>Cybersécurité générale</t>
  </si>
  <si>
    <t>Ahmed Haji Issack</t>
  </si>
  <si>
    <t>General Manager, ICT — KenGen</t>
  </si>
  <si>
    <t>ICT, infrastructure critique</t>
  </si>
  <si>
    <t>Nils Rodday</t>
  </si>
  <si>
    <t>Allemagne (Munich)</t>
  </si>
  <si>
    <t>EN, DE</t>
  </si>
  <si>
    <t>OT/ICS/SCADA, sécurité des drones/IoT, sécurité réseau (BGP/RPKI)</t>
  </si>
  <si>
    <t>Twitter @nilsrodday / LinkedIn</t>
  </si>
  <si>
    <t>Dr Renée Burton</t>
  </si>
  <si>
    <t>Threat Intelligence, DNS security</t>
  </si>
  <si>
    <t>Benta Kamau</t>
  </si>
  <si>
    <t>Legal Officer — Cyberpro Global</t>
  </si>
  <si>
    <t>Mohamed Ben Amor</t>
  </si>
  <si>
    <t>Europe / Afrique du Nord</t>
  </si>
  <si>
    <t>Tunisie</t>
  </si>
  <si>
    <t>AR, FR, EN</t>
  </si>
  <si>
    <t>Secretary General — Arab ICT Organization</t>
  </si>
  <si>
    <t>Workshop</t>
  </si>
  <si>
    <t>SecOps, cloud security (Microsoft 365/Azure)</t>
  </si>
  <si>
    <t>Non trouvé ; https://www.aicto.org/</t>
  </si>
  <si>
    <t>David Bizeul</t>
  </si>
  <si>
    <t>France</t>
  </si>
  <si>
    <t>Threat Intelligence, fondation CSIRT, cybermenaces</t>
  </si>
  <si>
    <t>Inconnu, probablement payant</t>
  </si>
  <si>
    <t>Via Sekoia.io / LinkedIn</t>
  </si>
  <si>
    <t>Sanoop Thomas</t>
  </si>
  <si>
    <t>Singapour/Inde (zone Asie)</t>
  </si>
  <si>
    <t>Pentest, offensive security, outils open source</t>
  </si>
  <si>
    <t>Probablement modéré</t>
  </si>
  <si>
    <t>Via Black Hat Asia speaker profile</t>
  </si>
  <si>
    <t>Hassan Khan</t>
  </si>
  <si>
    <t>Pakistan/MENA</t>
  </si>
  <si>
    <t>EN, UR</t>
  </si>
  <si>
    <t>Pentest, bug bounty, sécurité Ruby</t>
  </si>
  <si>
    <t>Via Cyber Security Asia 2026 speakers</t>
  </si>
  <si>
    <t>Washington Okoth</t>
  </si>
  <si>
    <t>Secretary ICT Infrastructure — MICDE</t>
  </si>
  <si>
    <t>ICT infrastructure</t>
  </si>
  <si>
    <t>Wagude Lui</t>
  </si>
  <si>
    <t>Founder — Edigicom-Cyberpro</t>
  </si>
  <si>
    <t>Entrepreneuriat cyber</t>
  </si>
  <si>
    <t>Pascal Fortin</t>
  </si>
  <si>
    <t>Panel / Keynote institutionnel</t>
  </si>
  <si>
    <t>Écosystème cyber canadien, gouvernance</t>
  </si>
  <si>
    <t>cybereco.ca (info@cybereco.ca)</t>
  </si>
  <si>
    <t>Ikhtear Bunyan</t>
  </si>
  <si>
    <t>Canada (Montréal, QC — IBM)</t>
  </si>
  <si>
    <t>IA agentique, souveraineté numérique</t>
  </si>
  <si>
    <t>Via IBM Canada / Cybereco</t>
  </si>
  <si>
    <t>Benoit Blas</t>
  </si>
  <si>
    <t>Canada (HashiCorp)</t>
  </si>
  <si>
    <t>Sécurité IA agentique, zero trust</t>
  </si>
  <si>
    <t>Via HashiCorp / Cybereco</t>
  </si>
  <si>
    <t>Vitor Ventura</t>
  </si>
  <si>
    <t>Portugal</t>
  </si>
  <si>
    <t>PT, EN</t>
  </si>
  <si>
    <t>Threat Intelligence, recherche menaces</t>
  </si>
  <si>
    <t>Payant probable (Cisco)</t>
  </si>
  <si>
    <t>Via AI Security &amp; Privacy Conference Portugal</t>
  </si>
  <si>
    <t>Sacha Faust</t>
  </si>
  <si>
    <t>USA (Seattle)</t>
  </si>
  <si>
    <t>Cloud Security, IA en cybersécurité (GenAI security)</t>
  </si>
  <si>
    <t>Inconnu, probablement payant (poste exécutif)</t>
  </si>
  <si>
    <t>linkedin.com/in/sachafaust</t>
  </si>
  <si>
    <t>Dr Fatmah Baothman</t>
  </si>
  <si>
    <t>Arabie Saoudite (Jeddah)</t>
  </si>
  <si>
    <t>EN, AR</t>
  </si>
  <si>
    <t>IA en cybersécurité, Éthique de l'IA</t>
  </si>
  <si>
    <t>Inconnu, probablement cachet bureau speakers</t>
  </si>
  <si>
    <t>Via King Abdulaziz University / LinkedIn</t>
  </si>
  <si>
    <t>Ronald Kirui</t>
  </si>
  <si>
    <t>Managing Director — Magal Security Systems Limited</t>
  </si>
  <si>
    <t>Sécurité physique/électronique</t>
  </si>
  <si>
    <t>Dr Syarifah Bahiyah Rahayu</t>
  </si>
  <si>
    <t>Malaisie</t>
  </si>
  <si>
    <t>EN, MS</t>
  </si>
  <si>
    <t>Cyber défense nationale, recherche académique</t>
  </si>
  <si>
    <t>Mary Aiken, PhD</t>
  </si>
  <si>
    <t>International</t>
  </si>
  <si>
    <t>USA (Washington D.C.) / Irlande (origine)</t>
  </si>
  <si>
    <t>Sensibilisation / Culture sécu, IA &amp; comportement humain, Menaces émergentes</t>
  </si>
  <si>
    <t>Payant — cachet élevé (bureau de speakers officiel, Champions Speakers/Connect Speakers Bureau)</t>
  </si>
  <si>
    <t>Via Paladin Capital Group, Champions Speakers Agency, connectspeakersbureau.com</t>
  </si>
  <si>
    <t>Martin Laberge</t>
  </si>
  <si>
    <t>Canada (Montréal, QC — Énergir)</t>
  </si>
  <si>
    <t>Cyber infra. critiques IT/OT, CISO</t>
  </si>
  <si>
    <t>Via CS4CA Canada / LinkedIn</t>
  </si>
  <si>
    <t>Mirosław Maj</t>
  </si>
  <si>
    <t>Pologne</t>
  </si>
  <si>
    <t>PL, EN</t>
  </si>
  <si>
    <t>OT/ICS, gouvernance cyber nationale, formation CSIRT</t>
  </si>
  <si>
    <t>Via Cybersecurity Foundation Pologne / FIRST.org</t>
  </si>
  <si>
    <t>Lukas Štefanko</t>
  </si>
  <si>
    <t>Slovaquie</t>
  </si>
  <si>
    <t>SK, EN</t>
  </si>
  <si>
    <t>Malware research, mobile security</t>
  </si>
  <si>
    <t>Jeffrey Macre</t>
  </si>
  <si>
    <t>Canada (Alberta)</t>
  </si>
  <si>
    <t>OT/ICS/SCADA, énergie/eau/manufacturing</t>
  </si>
  <si>
    <t>Via canada.cs4ca.com/speakers</t>
  </si>
  <si>
    <t>Cody Barrow</t>
  </si>
  <si>
    <t>Pays-Bas (Europe)</t>
  </si>
  <si>
    <t>Threat Intelligence (CTI), leadership</t>
  </si>
  <si>
    <t>Payant probable (CEO)</t>
  </si>
  <si>
    <t>Via EclecticIQ</t>
  </si>
  <si>
    <t>Bjørn Richard Watne</t>
  </si>
  <si>
    <t>International / INTERPOL</t>
  </si>
  <si>
    <t>EN, NO</t>
  </si>
  <si>
    <t>CISO, Office of Internal Oversight — INTERPOL</t>
  </si>
  <si>
    <t>GRC, coopération internationale</t>
  </si>
  <si>
    <t>Via INTERPOL</t>
  </si>
  <si>
    <t>Non trouvé ; https://www.interpol.int/</t>
  </si>
  <si>
    <t>Noah Emuna</t>
  </si>
  <si>
    <t>Consultant Homeland Security — Inconnu</t>
  </si>
  <si>
    <t>Homeland Security</t>
  </si>
  <si>
    <t>Rajat Kumar Kundu</t>
  </si>
  <si>
    <t>Canada (Alberta — Enbridge)</t>
  </si>
  <si>
    <t>OT/ICS/SCADA, pipelines</t>
  </si>
  <si>
    <t>Via CS4CA Canada / LinkedIn Enbridge</t>
  </si>
  <si>
    <t>ET Atere</t>
  </si>
  <si>
    <t>Canada (WSP)</t>
  </si>
  <si>
    <t>OT/ICS, rail, utilities, eau</t>
  </si>
  <si>
    <t>Via CS4CA Canada / LinkedIn WSP</t>
  </si>
  <si>
    <t>Cecil (nom de famille non confirmé)</t>
  </si>
  <si>
    <t>Singapour</t>
  </si>
  <si>
    <t>IA &amp; cybersécurité, AppSec</t>
  </si>
  <si>
    <t>Via Black Hat Asia 2026 speaker page</t>
  </si>
  <si>
    <t>Marcin Fronczak</t>
  </si>
  <si>
    <t>GRC, audits IT/OT, secteur financier/assurance</t>
  </si>
  <si>
    <t>Via FIRST.org publications</t>
  </si>
  <si>
    <t>Gus Arias, CISSP</t>
  </si>
  <si>
    <t>Cloud/hybrid security, EDR/NDR, SecOps</t>
  </si>
  <si>
    <t>Via CS4CA Canada</t>
  </si>
  <si>
    <t>Hyelim Juliana Kim</t>
  </si>
  <si>
    <t>Corée du Sud</t>
  </si>
  <si>
    <t>KO, EN</t>
  </si>
  <si>
    <t>Cybersécurité aérospatiale</t>
  </si>
  <si>
    <t>À approfondir — repérée via Cyberconférence Montréal</t>
  </si>
  <si>
    <t>CRITÈRE</t>
  </si>
  <si>
    <t>DESCRIPTION SCORE</t>
  </si>
  <si>
    <t>PLAGE</t>
  </si>
  <si>
    <t>P1 — Pertinence internationale (25%)</t>
  </si>
  <si>
    <t>90–100 : Speaker régulier RSA, Black Hat, TED, DEF CON, speaker bureau international</t>
  </si>
  <si>
    <t>Excellent</t>
  </si>
  <si>
    <t>70–89 : Speaker conférences régionales majeures, cité dans presse spécialisée</t>
  </si>
  <si>
    <t>Très bon</t>
  </si>
  <si>
    <t>50–69 : Speaker événements nationaux / académiques, quelques apparitions intl.</t>
  </si>
  <si>
    <t>Bon</t>
  </si>
  <si>
    <t>30–49 : Praticien actif, visibilité conférence limitée</t>
  </si>
  <si>
    <t>Moyen</t>
  </si>
  <si>
    <t>0–29 : Profil local ou jamais apparu comme speaker public</t>
  </si>
  <si>
    <t>Faible</t>
  </si>
  <si>
    <t>90–100 : Expertise principale = thématique EOCON, sujet identifié et original</t>
  </si>
  <si>
    <t>70–89 : Bonne couverture, 1-2 thématiques EOCON dans sa pratique</t>
  </si>
  <si>
    <t>50–69 : Couverture partielle, profil adjacent (ex: fintech vs cybersécurité)</t>
  </si>
  <si>
    <t>0–49 : Trop éloigné ou sujet déjà saturé dans le programme</t>
  </si>
  <si>
    <t>90–100 : Africain(e) ou diaspora avec engagement actif continent, réseau cyber Afrique</t>
  </si>
  <si>
    <t>70–89 : Non-africain mais travail de terrain en Afrique documenté</t>
  </si>
  <si>
    <t>30–69 : Lien indirect (partenaires, organisations africaines)</t>
  </si>
  <si>
    <t>0–29 : Aucun lien identifié avec l'écosystème africain</t>
  </si>
  <si>
    <t>90–100 : Confirmé gratuit / pro bono (ex: Vandana Verma, speakers grassroots)</t>
  </si>
  <si>
    <t>70–89 : Cadre institutionnel (fonctionnaire, académique) — frais voyage seulement</t>
  </si>
  <si>
    <t>40–69 : Inconnu / à négocier, cachet probable modéré</t>
  </si>
  <si>
    <t>20–39 : Profil commercial, probablement payant</t>
  </si>
  <si>
    <t>0–19 : Bureau de speakers officiel, cachet confirmé &gt; 5 000 €</t>
  </si>
  <si>
    <t>Très faible</t>
  </si>
  <si>
    <t>P5 — Adéquation format (10%)</t>
  </si>
  <si>
    <t>90–100 : Couvre un format rare dans le programme (ex: unique profil OT/ICS workshop)</t>
  </si>
  <si>
    <t>70–89 : Bon complément thématique ou format non encore couvert</t>
  </si>
  <si>
    <t>50–69 : Format déjà bien couvert mais profil distinctif</t>
  </si>
  <si>
    <t>0–49 : Doublon thématique ET format dans le programme</t>
  </si>
  <si>
    <t>P6 — Visibilité &amp; Rayonnement (10%)</t>
  </si>
  <si>
    <t>80–100 : &gt;10k abonnés LinkedIn, publications régulières, podcasts, médias grand public</t>
  </si>
  <si>
    <t>60–79 : Actif sur les réseaux, quelques médias spécialisés</t>
  </si>
  <si>
    <t>30–59 : Présence modérée, publications sporadiques</t>
  </si>
  <si>
    <t>0–29 : Profil discret, peu de traces publiques récentes</t>
  </si>
  <si>
    <t>FORMULE IP</t>
  </si>
  <si>
    <t>SEUILS TIER</t>
  </si>
  <si>
    <t>Tier 1 — Prioritaire : IP ≥ 75 → Contact J+0 à J+14, message personnalisé</t>
  </si>
  <si>
    <t>≥ 75</t>
  </si>
  <si>
    <t>Tier 2 — À cultiver : IP 50–74 → Contact J+30, approche CFP ou réseau commun</t>
  </si>
  <si>
    <t>50–74</t>
  </si>
  <si>
    <t>Tier 3 — Réserve : IP &lt; 50 → CFP seulement, liste de réserve</t>
  </si>
  <si>
    <t>&lt; 50</t>
  </si>
  <si>
    <t>P2 — Alignement thématique (10%)</t>
  </si>
  <si>
    <t>P3 — Africanité / Diaspora (15%)</t>
  </si>
  <si>
    <t>P4 — Accessibilité &amp; Budget (30%)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</si>
</sst>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b/>
      <sz val="9"/>
      <color rgb="FFFFFFFF"/>
      <name val="Arial"/>
    </font>
    <font>
      <i/>
      <sz val="8"/>
      <color rgb="FF888888"/>
      <name val="Arial"/>
    </font>
    <font>
      <sz val="9"/>
      <name val="Arial"/>
    </font>
    <font>
      <b/>
      <sz val="10"/>
      <name val="Arial"/>
    </font>
    <font>
      <b/>
      <sz val="11"/>
      <color rgb="FF375623"/>
      <name val="Arial"/>
    </font>
    <font>
      <b/>
      <sz val="11"/>
      <color rgb="FF9C6500"/>
      <name val="Arial"/>
    </font>
    <font>
      <b/>
      <sz val="12"/>
      <color rgb="FF375623"/>
      <name val="Arial"/>
    </font>
    <font>
      <b/>
      <sz val="10"/>
      <color rgb="FF375623"/>
      <name val="Arial"/>
    </font>
    <font>
      <b/>
      <sz val="11"/>
      <color rgb="FF9C0006"/>
      <name val="Arial"/>
    </font>
    <font>
      <b/>
      <sz val="12"/>
      <color rgb="FF9C6500"/>
      <name val="Arial"/>
    </font>
    <font>
      <b/>
      <sz val="10"/>
      <color rgb="FF9C6500"/>
      <name val="Arial"/>
    </font>
    <font>
      <b/>
      <sz val="12"/>
      <color rgb="FF9C0006"/>
      <name val="Arial"/>
    </font>
    <font>
      <b/>
      <sz val="10"/>
      <color rgb="FF9C0006"/>
      <name val="Arial"/>
    </font>
    <font>
      <sz val="10"/>
      <name val="Arial"/>
    </font>
    <font>
      <b/>
      <sz val="10"/>
      <color rgb="FF1F4E78"/>
      <name val="Arial"/>
    </font>
    <font>
      <b/>
      <sz val="10"/>
      <color rgb="FFC55A11"/>
      <name val="Arial"/>
    </font>
  </fonts>
  <fills count="2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2E75B6"/>
        <bgColor rgb="FF2E75B6"/>
      </patternFill>
    </fill>
    <fill>
      <patternFill patternType="solid">
        <fgColor rgb="FFC55A11"/>
        <bgColor rgb="FFC55A11"/>
      </patternFill>
    </fill>
    <fill>
      <patternFill patternType="solid">
        <fgColor rgb="FF843C0C"/>
        <bgColor rgb="FF843C0C"/>
      </patternFill>
    </fill>
    <fill>
      <patternFill patternType="solid">
        <fgColor rgb="FF375623"/>
        <bgColor rgb="FF375623"/>
      </patternFill>
    </fill>
    <fill>
      <patternFill patternType="solid">
        <fgColor rgb="FF7B5EA7"/>
        <bgColor rgb="FF7B5EA7"/>
      </patternFill>
    </fill>
    <fill>
      <patternFill patternType="solid">
        <fgColor rgb="FF1F6B75"/>
        <bgColor rgb="FF1F6B75"/>
      </patternFill>
    </fill>
    <fill>
      <patternFill patternType="solid">
        <fgColor rgb="FF7B7B7B"/>
        <bgColor rgb="FF7B7B7B"/>
      </patternFill>
    </fill>
    <fill>
      <patternFill patternType="solid">
        <fgColor rgb="FFFF0000"/>
        <bgColor rgb="FFFF0000"/>
      </patternFill>
    </fill>
    <fill>
      <patternFill patternType="solid">
        <fgColor rgb="FFF5F5F5"/>
        <bgColor rgb="FFF5F5F5"/>
      </patternFill>
    </fill>
    <fill>
      <patternFill patternType="solid">
        <fgColor rgb="FFF8F9FA"/>
        <bgColor rgb="FFF8F9FA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CE4D6"/>
        <bgColor rgb="FFFCE4D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D6E4F0"/>
        <bgColor rgb="FFD6E4F0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2" fillId="10" borderId="0" xfId="0" applyFont="1" applyFill="1" applyAlignment="1">
      <alignment horizontal="center" vertical="center" wrapText="1"/>
    </xf>
    <xf numFmtId="0" fontId="3" fillId="11" borderId="0" xfId="0" applyFont="1" applyFill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left" vertical="top" wrapText="1"/>
    </xf>
    <xf numFmtId="0" fontId="4" fillId="12" borderId="1" xfId="0" applyFont="1" applyFill="1" applyBorder="1" applyAlignment="1">
      <alignment horizontal="left" vertical="top" wrapText="1"/>
    </xf>
    <xf numFmtId="1" fontId="6" fillId="13" borderId="1" xfId="0" applyNumberFormat="1" applyFont="1" applyFill="1" applyBorder="1" applyAlignment="1">
      <alignment horizontal="center" vertical="center"/>
    </xf>
    <xf numFmtId="1" fontId="7" fillId="14" borderId="1" xfId="0" applyNumberFormat="1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9" fillId="15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left" vertical="top" wrapText="1"/>
    </xf>
    <xf numFmtId="0" fontId="4" fillId="16" borderId="1" xfId="0" applyFont="1" applyFill="1" applyBorder="1" applyAlignment="1">
      <alignment horizontal="left" vertical="top" wrapText="1"/>
    </xf>
    <xf numFmtId="1" fontId="10" fillId="17" borderId="1" xfId="0" applyNumberFormat="1" applyFont="1" applyFill="1" applyBorder="1" applyAlignment="1">
      <alignment horizontal="center" vertical="center"/>
    </xf>
    <xf numFmtId="1" fontId="10" fillId="18" borderId="1" xfId="0" applyNumberFormat="1" applyFont="1" applyFill="1" applyBorder="1" applyAlignment="1">
      <alignment horizontal="center" vertical="center"/>
    </xf>
    <xf numFmtId="0" fontId="11" fillId="19" borderId="1" xfId="0" applyFont="1" applyFill="1" applyBorder="1" applyAlignment="1">
      <alignment horizontal="center" vertical="center"/>
    </xf>
    <xf numFmtId="0" fontId="12" fillId="19" borderId="1" xfId="0" applyFont="1" applyFill="1" applyBorder="1" applyAlignment="1">
      <alignment horizontal="center" vertical="center"/>
    </xf>
    <xf numFmtId="0" fontId="13" fillId="20" borderId="1" xfId="0" applyFont="1" applyFill="1" applyBorder="1" applyAlignment="1">
      <alignment horizontal="center" vertical="center"/>
    </xf>
    <xf numFmtId="0" fontId="14" fillId="20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vertical="top" wrapText="1"/>
    </xf>
    <xf numFmtId="0" fontId="15" fillId="0" borderId="0" xfId="0" applyFont="1" applyAlignment="1">
      <alignment vertical="top" wrapText="1"/>
    </xf>
    <xf numFmtId="0" fontId="16" fillId="21" borderId="0" xfId="0" applyFont="1" applyFill="1" applyAlignment="1">
      <alignment vertical="top" wrapText="1"/>
    </xf>
    <xf numFmtId="0" fontId="9" fillId="15" borderId="0" xfId="0" applyFont="1" applyFill="1" applyAlignment="1">
      <alignment vertical="top" wrapText="1"/>
    </xf>
    <xf numFmtId="0" fontId="12" fillId="19" borderId="0" xfId="0" applyFont="1" applyFill="1" applyAlignment="1">
      <alignment vertical="top" wrapText="1"/>
    </xf>
    <xf numFmtId="0" fontId="14" fillId="20" borderId="0" xfId="0" applyFont="1" applyFill="1" applyAlignment="1">
      <alignment vertical="top" wrapText="1"/>
    </xf>
    <xf numFmtId="0" fontId="17" fillId="18" borderId="0" xfId="0" applyFont="1" applyFill="1" applyAlignment="1">
      <alignment vertical="top" wrapText="1"/>
    </xf>
    <xf numFmtId="0" fontId="5" fillId="13" borderId="0" xfId="0" applyFont="1" applyFill="1" applyAlignment="1">
      <alignment vertical="top" wrapText="1"/>
    </xf>
    <xf numFmtId="0" fontId="1" fillId="10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15"/>
  <sheetViews>
    <sheetView tabSelected="1" zoomScale="68" zoomScaleNormal="68" workbookViewId="0">
      <pane xSplit="1" ySplit="3" topLeftCell="F85" activePane="bottomRight" state="frozen"/>
      <selection pane="topRight"/>
      <selection pane="bottomLeft"/>
      <selection pane="bottomRight" activeCell="T2" sqref="T2"/>
    </sheetView>
  </sheetViews>
  <sheetFormatPr baseColWidth="10" defaultColWidth="8.88671875" defaultRowHeight="14.4" x14ac:dyDescent="0.3"/>
  <cols>
    <col min="1" max="1" width="4" customWidth="1"/>
    <col min="2" max="2" width="28" customWidth="1"/>
    <col min="3" max="3" width="12" customWidth="1"/>
    <col min="4" max="4" width="22" customWidth="1"/>
    <col min="5" max="5" width="9" customWidth="1"/>
    <col min="6" max="6" width="28" customWidth="1"/>
    <col min="7" max="7" width="18" customWidth="1"/>
    <col min="8" max="8" width="30" customWidth="1"/>
    <col min="9" max="10" width="22" customWidth="1"/>
    <col min="11" max="11" width="28" customWidth="1"/>
    <col min="12" max="12" width="12" customWidth="1"/>
    <col min="13" max="13" width="18" customWidth="1"/>
    <col min="14" max="19" width="14" customWidth="1"/>
    <col min="20" max="20" width="14.5546875" customWidth="1"/>
    <col min="21" max="21" width="20.33203125" bestFit="1" customWidth="1"/>
    <col min="22" max="22" width="16" customWidth="1"/>
  </cols>
  <sheetData>
    <row r="1" spans="1:22" ht="22.05" customHeight="1" x14ac:dyDescent="0.3">
      <c r="A1" s="43" t="s">
        <v>0</v>
      </c>
      <c r="B1" s="42"/>
      <c r="C1" s="42"/>
      <c r="D1" s="42"/>
      <c r="E1" s="44" t="s">
        <v>1</v>
      </c>
      <c r="F1" s="42"/>
      <c r="G1" s="42"/>
      <c r="H1" s="42"/>
      <c r="I1" s="42"/>
      <c r="J1" s="42"/>
      <c r="K1" s="42"/>
      <c r="L1" s="42"/>
      <c r="M1" s="42"/>
      <c r="N1" s="1" t="s">
        <v>2</v>
      </c>
      <c r="O1" s="2" t="s">
        <v>3</v>
      </c>
      <c r="P1" s="3" t="s">
        <v>4</v>
      </c>
      <c r="Q1" s="4" t="s">
        <v>5</v>
      </c>
      <c r="R1" s="5" t="s">
        <v>6</v>
      </c>
      <c r="S1" s="6" t="s">
        <v>7</v>
      </c>
      <c r="T1" s="41" t="s">
        <v>8</v>
      </c>
      <c r="U1" s="42"/>
      <c r="V1" s="42"/>
    </row>
    <row r="2" spans="1:22" ht="43.95" customHeight="1" x14ac:dyDescent="0.3">
      <c r="A2" s="7" t="s">
        <v>9</v>
      </c>
      <c r="B2" s="7" t="s">
        <v>10</v>
      </c>
      <c r="C2" s="7" t="s">
        <v>11</v>
      </c>
      <c r="D2" s="7" t="s">
        <v>12</v>
      </c>
      <c r="E2" s="8" t="s">
        <v>13</v>
      </c>
      <c r="F2" s="8" t="s">
        <v>14</v>
      </c>
      <c r="G2" s="8" t="s">
        <v>15</v>
      </c>
      <c r="H2" s="8" t="s">
        <v>16</v>
      </c>
      <c r="I2" s="8" t="s">
        <v>17</v>
      </c>
      <c r="J2" s="8" t="s">
        <v>18</v>
      </c>
      <c r="K2" s="8" t="s">
        <v>19</v>
      </c>
      <c r="L2" s="8" t="s">
        <v>20</v>
      </c>
      <c r="M2" s="8" t="s">
        <v>21</v>
      </c>
      <c r="N2" s="9" t="s">
        <v>22</v>
      </c>
      <c r="O2" s="10" t="s">
        <v>23</v>
      </c>
      <c r="P2" s="11" t="s">
        <v>24</v>
      </c>
      <c r="Q2" s="12" t="s">
        <v>25</v>
      </c>
      <c r="R2" s="13" t="s">
        <v>26</v>
      </c>
      <c r="S2" s="14" t="s">
        <v>27</v>
      </c>
      <c r="T2" s="15" t="s">
        <v>28</v>
      </c>
      <c r="U2" s="15" t="s">
        <v>29</v>
      </c>
      <c r="V2" s="15" t="s">
        <v>30</v>
      </c>
    </row>
    <row r="3" spans="1:22" ht="13.95" customHeight="1" x14ac:dyDescent="0.3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 t="s">
        <v>31</v>
      </c>
      <c r="O3" s="16" t="s">
        <v>32</v>
      </c>
      <c r="P3" s="16" t="s">
        <v>33</v>
      </c>
      <c r="Q3" s="16" t="s">
        <v>34</v>
      </c>
      <c r="R3" s="16" t="s">
        <v>35</v>
      </c>
      <c r="S3" s="16" t="s">
        <v>36</v>
      </c>
      <c r="T3" s="16"/>
      <c r="U3" s="16"/>
      <c r="V3" s="16"/>
    </row>
    <row r="4" spans="1:22" ht="52.05" customHeight="1" x14ac:dyDescent="0.3">
      <c r="A4" s="17">
        <v>1</v>
      </c>
      <c r="B4" s="18" t="s">
        <v>37</v>
      </c>
      <c r="C4" s="19" t="s">
        <v>38</v>
      </c>
      <c r="D4" s="19" t="s">
        <v>39</v>
      </c>
      <c r="E4" s="19" t="s">
        <v>40</v>
      </c>
      <c r="F4" s="19"/>
      <c r="G4" s="19" t="s">
        <v>41</v>
      </c>
      <c r="H4" s="19" t="s">
        <v>42</v>
      </c>
      <c r="I4" s="19" t="s">
        <v>43</v>
      </c>
      <c r="J4" s="19"/>
      <c r="K4" s="19" t="s">
        <v>44</v>
      </c>
      <c r="L4" s="19" t="s">
        <v>45</v>
      </c>
      <c r="M4" s="19" t="s">
        <v>46</v>
      </c>
      <c r="N4" s="20"/>
      <c r="O4" s="20"/>
      <c r="P4" s="20"/>
      <c r="Q4" s="20"/>
      <c r="R4" s="20"/>
      <c r="S4" s="21"/>
      <c r="T4" s="22">
        <f t="shared" ref="T4:T35" si="0">ROUND((N4*0.25+O4*0.2+P4*0.2+Q4*0.15+R4*0.1+S4*0.1),0)</f>
        <v>0</v>
      </c>
      <c r="U4" s="23" t="str">
        <f t="shared" ref="U4:U35" si="1">IF(T4&gt;=75,"Tier 1 — Prioritaire",IF(T4&gt;=50,"Tier 2 — À cultiver","Tier 3 — Réserve"))</f>
        <v>Tier 3 — Réserve</v>
      </c>
      <c r="V4" s="19" t="str">
        <f t="shared" ref="V4:V35" si="2">IF(T4&gt;=75,"J+0 à J+14 — Contact direct personnalisé",IF(T4&gt;=50,"J+30 — Approche CFP ou réseau commun","J+60 — CFP seulement / liste de réserve"))</f>
        <v>J+60 — CFP seulement / liste de réserve</v>
      </c>
    </row>
    <row r="5" spans="1:22" ht="52.05" customHeight="1" x14ac:dyDescent="0.3">
      <c r="A5" s="24">
        <v>2</v>
      </c>
      <c r="B5" s="25" t="s">
        <v>47</v>
      </c>
      <c r="C5" s="26" t="s">
        <v>48</v>
      </c>
      <c r="D5" s="26" t="s">
        <v>49</v>
      </c>
      <c r="E5" s="26" t="s">
        <v>50</v>
      </c>
      <c r="F5" s="26" t="s">
        <v>51</v>
      </c>
      <c r="G5" s="26" t="s">
        <v>52</v>
      </c>
      <c r="H5" s="26" t="s">
        <v>53</v>
      </c>
      <c r="I5" s="26" t="s">
        <v>54</v>
      </c>
      <c r="J5" s="26" t="s">
        <v>55</v>
      </c>
      <c r="K5" s="26" t="s">
        <v>56</v>
      </c>
      <c r="L5" s="26" t="s">
        <v>45</v>
      </c>
      <c r="M5" s="26" t="s">
        <v>57</v>
      </c>
      <c r="N5" s="20"/>
      <c r="O5" s="20"/>
      <c r="P5" s="20"/>
      <c r="Q5" s="27"/>
      <c r="R5" s="20"/>
      <c r="S5" s="20"/>
      <c r="T5" s="22">
        <f t="shared" si="0"/>
        <v>0</v>
      </c>
      <c r="U5" s="23" t="str">
        <f t="shared" si="1"/>
        <v>Tier 3 — Réserve</v>
      </c>
      <c r="V5" s="26" t="str">
        <f t="shared" si="2"/>
        <v>J+60 — CFP seulement / liste de réserve</v>
      </c>
    </row>
    <row r="6" spans="1:22" ht="52.05" customHeight="1" x14ac:dyDescent="0.3">
      <c r="A6" s="17">
        <v>3</v>
      </c>
      <c r="B6" s="18" t="s">
        <v>58</v>
      </c>
      <c r="C6" s="19" t="s">
        <v>38</v>
      </c>
      <c r="D6" s="19" t="s">
        <v>59</v>
      </c>
      <c r="E6" s="19" t="s">
        <v>60</v>
      </c>
      <c r="F6" s="19"/>
      <c r="G6" s="19" t="s">
        <v>61</v>
      </c>
      <c r="H6" s="19" t="s">
        <v>62</v>
      </c>
      <c r="I6" s="19"/>
      <c r="J6" s="19"/>
      <c r="K6" s="19"/>
      <c r="L6" s="19" t="s">
        <v>45</v>
      </c>
      <c r="M6" s="19" t="s">
        <v>63</v>
      </c>
      <c r="N6" s="20"/>
      <c r="O6" s="20"/>
      <c r="P6" s="20"/>
      <c r="Q6" s="21"/>
      <c r="R6" s="20"/>
      <c r="S6" s="20"/>
      <c r="T6" s="22">
        <f t="shared" si="0"/>
        <v>0</v>
      </c>
      <c r="U6" s="23" t="str">
        <f t="shared" si="1"/>
        <v>Tier 3 — Réserve</v>
      </c>
      <c r="V6" s="19" t="str">
        <f t="shared" si="2"/>
        <v>J+60 — CFP seulement / liste de réserve</v>
      </c>
    </row>
    <row r="7" spans="1:22" ht="52.05" customHeight="1" x14ac:dyDescent="0.3">
      <c r="A7" s="24">
        <v>4</v>
      </c>
      <c r="B7" s="25" t="s">
        <v>64</v>
      </c>
      <c r="C7" s="26" t="s">
        <v>65</v>
      </c>
      <c r="D7" s="26" t="s">
        <v>66</v>
      </c>
      <c r="E7" s="26" t="s">
        <v>40</v>
      </c>
      <c r="F7" s="26"/>
      <c r="G7" s="26" t="s">
        <v>67</v>
      </c>
      <c r="H7" s="26" t="s">
        <v>68</v>
      </c>
      <c r="I7" s="26" t="s">
        <v>69</v>
      </c>
      <c r="J7" s="26"/>
      <c r="K7" s="26" t="s">
        <v>70</v>
      </c>
      <c r="L7" s="26" t="s">
        <v>45</v>
      </c>
      <c r="M7" s="26" t="s">
        <v>46</v>
      </c>
      <c r="N7" s="20"/>
      <c r="O7" s="20"/>
      <c r="P7" s="20"/>
      <c r="Q7" s="28"/>
      <c r="R7" s="20"/>
      <c r="S7" s="21"/>
      <c r="T7" s="22">
        <f t="shared" si="0"/>
        <v>0</v>
      </c>
      <c r="U7" s="23" t="str">
        <f t="shared" si="1"/>
        <v>Tier 3 — Réserve</v>
      </c>
      <c r="V7" s="26" t="str">
        <f t="shared" si="2"/>
        <v>J+60 — CFP seulement / liste de réserve</v>
      </c>
    </row>
    <row r="8" spans="1:22" ht="52.05" customHeight="1" x14ac:dyDescent="0.3">
      <c r="A8" s="17">
        <v>5</v>
      </c>
      <c r="B8" s="18" t="s">
        <v>71</v>
      </c>
      <c r="C8" s="19" t="s">
        <v>38</v>
      </c>
      <c r="D8" s="19" t="s">
        <v>72</v>
      </c>
      <c r="E8" s="19" t="s">
        <v>40</v>
      </c>
      <c r="F8" s="19"/>
      <c r="G8" s="19" t="s">
        <v>73</v>
      </c>
      <c r="H8" s="19" t="s">
        <v>74</v>
      </c>
      <c r="I8" s="19" t="s">
        <v>75</v>
      </c>
      <c r="J8" s="19"/>
      <c r="K8" s="19" t="s">
        <v>76</v>
      </c>
      <c r="L8" s="19" t="s">
        <v>45</v>
      </c>
      <c r="M8" s="19" t="s">
        <v>46</v>
      </c>
      <c r="N8" s="21"/>
      <c r="O8" s="20"/>
      <c r="P8" s="20"/>
      <c r="Q8" s="20"/>
      <c r="R8" s="21"/>
      <c r="S8" s="21"/>
      <c r="T8" s="22">
        <f t="shared" si="0"/>
        <v>0</v>
      </c>
      <c r="U8" s="23" t="str">
        <f t="shared" si="1"/>
        <v>Tier 3 — Réserve</v>
      </c>
      <c r="V8" s="19" t="str">
        <f t="shared" si="2"/>
        <v>J+60 — CFP seulement / liste de réserve</v>
      </c>
    </row>
    <row r="9" spans="1:22" ht="52.05" customHeight="1" x14ac:dyDescent="0.3">
      <c r="A9" s="24">
        <v>6</v>
      </c>
      <c r="B9" s="25" t="s">
        <v>77</v>
      </c>
      <c r="C9" s="26" t="s">
        <v>78</v>
      </c>
      <c r="D9" s="26" t="s">
        <v>79</v>
      </c>
      <c r="E9" s="26" t="s">
        <v>80</v>
      </c>
      <c r="F9" s="26"/>
      <c r="G9" s="26" t="s">
        <v>81</v>
      </c>
      <c r="H9" s="26" t="s">
        <v>82</v>
      </c>
      <c r="I9" s="26" t="s">
        <v>83</v>
      </c>
      <c r="J9" s="26"/>
      <c r="K9" s="26" t="s">
        <v>84</v>
      </c>
      <c r="L9" s="26" t="s">
        <v>45</v>
      </c>
      <c r="M9" s="26" t="s">
        <v>46</v>
      </c>
      <c r="N9" s="20"/>
      <c r="O9" s="20"/>
      <c r="P9" s="27"/>
      <c r="Q9" s="20"/>
      <c r="R9" s="20"/>
      <c r="S9" s="20"/>
      <c r="T9" s="22">
        <f t="shared" si="0"/>
        <v>0</v>
      </c>
      <c r="U9" s="23" t="str">
        <f t="shared" si="1"/>
        <v>Tier 3 — Réserve</v>
      </c>
      <c r="V9" s="26" t="str">
        <f t="shared" si="2"/>
        <v>J+60 — CFP seulement / liste de réserve</v>
      </c>
    </row>
    <row r="10" spans="1:22" ht="52.05" customHeight="1" x14ac:dyDescent="0.3">
      <c r="A10" s="17">
        <v>7</v>
      </c>
      <c r="B10" s="18" t="s">
        <v>85</v>
      </c>
      <c r="C10" s="19" t="s">
        <v>86</v>
      </c>
      <c r="D10" s="19" t="s">
        <v>87</v>
      </c>
      <c r="E10" s="19" t="s">
        <v>50</v>
      </c>
      <c r="F10" s="19" t="s">
        <v>88</v>
      </c>
      <c r="G10" s="19" t="s">
        <v>41</v>
      </c>
      <c r="H10" s="19" t="s">
        <v>89</v>
      </c>
      <c r="I10" s="19" t="s">
        <v>90</v>
      </c>
      <c r="J10" s="19" t="s">
        <v>91</v>
      </c>
      <c r="K10" s="19" t="s">
        <v>92</v>
      </c>
      <c r="L10" s="19" t="s">
        <v>45</v>
      </c>
      <c r="M10" s="19" t="s">
        <v>93</v>
      </c>
      <c r="N10" s="20"/>
      <c r="O10" s="20"/>
      <c r="P10" s="20"/>
      <c r="Q10" s="28"/>
      <c r="R10" s="20"/>
      <c r="S10" s="20"/>
      <c r="T10" s="22">
        <f t="shared" si="0"/>
        <v>0</v>
      </c>
      <c r="U10" s="23" t="str">
        <f t="shared" si="1"/>
        <v>Tier 3 — Réserve</v>
      </c>
      <c r="V10" s="19" t="str">
        <f t="shared" si="2"/>
        <v>J+60 — CFP seulement / liste de réserve</v>
      </c>
    </row>
    <row r="11" spans="1:22" ht="52.05" customHeight="1" x14ac:dyDescent="0.3">
      <c r="A11" s="24">
        <v>8</v>
      </c>
      <c r="B11" s="25" t="s">
        <v>94</v>
      </c>
      <c r="C11" s="26" t="s">
        <v>38</v>
      </c>
      <c r="D11" s="26" t="s">
        <v>95</v>
      </c>
      <c r="E11" s="26" t="s">
        <v>40</v>
      </c>
      <c r="F11" s="26"/>
      <c r="G11" s="26" t="s">
        <v>96</v>
      </c>
      <c r="H11" s="26" t="s">
        <v>97</v>
      </c>
      <c r="I11" s="26" t="s">
        <v>98</v>
      </c>
      <c r="J11" s="26"/>
      <c r="K11" s="26" t="s">
        <v>99</v>
      </c>
      <c r="L11" s="26" t="s">
        <v>45</v>
      </c>
      <c r="M11" s="26" t="s">
        <v>46</v>
      </c>
      <c r="N11" s="28"/>
      <c r="O11" s="20"/>
      <c r="P11" s="20"/>
      <c r="Q11" s="20"/>
      <c r="R11" s="21"/>
      <c r="S11" s="28"/>
      <c r="T11" s="22">
        <f t="shared" si="0"/>
        <v>0</v>
      </c>
      <c r="U11" s="23" t="str">
        <f t="shared" si="1"/>
        <v>Tier 3 — Réserve</v>
      </c>
      <c r="V11" s="26" t="str">
        <f t="shared" si="2"/>
        <v>J+60 — CFP seulement / liste de réserve</v>
      </c>
    </row>
    <row r="12" spans="1:22" ht="52.05" customHeight="1" x14ac:dyDescent="0.3">
      <c r="A12" s="17">
        <v>9</v>
      </c>
      <c r="B12" s="18" t="s">
        <v>100</v>
      </c>
      <c r="C12" s="19" t="s">
        <v>38</v>
      </c>
      <c r="D12" s="19" t="s">
        <v>101</v>
      </c>
      <c r="E12" s="19" t="s">
        <v>40</v>
      </c>
      <c r="F12" s="19"/>
      <c r="G12" s="19" t="s">
        <v>96</v>
      </c>
      <c r="H12" s="19" t="s">
        <v>102</v>
      </c>
      <c r="I12" s="19" t="s">
        <v>103</v>
      </c>
      <c r="J12" s="19"/>
      <c r="K12" s="19" t="s">
        <v>104</v>
      </c>
      <c r="L12" s="19" t="s">
        <v>45</v>
      </c>
      <c r="M12" s="19" t="s">
        <v>46</v>
      </c>
      <c r="N12" s="21"/>
      <c r="O12" s="21"/>
      <c r="P12" s="20"/>
      <c r="Q12" s="21"/>
      <c r="R12" s="21"/>
      <c r="S12" s="21"/>
      <c r="T12" s="22">
        <f t="shared" si="0"/>
        <v>0</v>
      </c>
      <c r="U12" s="23" t="str">
        <f t="shared" si="1"/>
        <v>Tier 3 — Réserve</v>
      </c>
      <c r="V12" s="19" t="str">
        <f t="shared" si="2"/>
        <v>J+60 — CFP seulement / liste de réserve</v>
      </c>
    </row>
    <row r="13" spans="1:22" ht="52.05" customHeight="1" x14ac:dyDescent="0.3">
      <c r="A13" s="24">
        <v>10</v>
      </c>
      <c r="B13" s="25" t="s">
        <v>105</v>
      </c>
      <c r="C13" s="26" t="s">
        <v>38</v>
      </c>
      <c r="D13" s="26" t="s">
        <v>106</v>
      </c>
      <c r="E13" s="26" t="s">
        <v>40</v>
      </c>
      <c r="F13" s="26"/>
      <c r="G13" s="26" t="s">
        <v>107</v>
      </c>
      <c r="H13" s="26" t="s">
        <v>108</v>
      </c>
      <c r="I13" s="26" t="s">
        <v>109</v>
      </c>
      <c r="J13" s="26"/>
      <c r="K13" s="26" t="s">
        <v>110</v>
      </c>
      <c r="L13" s="26" t="s">
        <v>45</v>
      </c>
      <c r="M13" s="26" t="s">
        <v>46</v>
      </c>
      <c r="N13" s="28"/>
      <c r="O13" s="20"/>
      <c r="P13" s="20"/>
      <c r="Q13" s="20"/>
      <c r="R13" s="20"/>
      <c r="S13" s="28"/>
      <c r="T13" s="22">
        <f t="shared" si="0"/>
        <v>0</v>
      </c>
      <c r="U13" s="23" t="str">
        <f t="shared" si="1"/>
        <v>Tier 3 — Réserve</v>
      </c>
      <c r="V13" s="26" t="str">
        <f t="shared" si="2"/>
        <v>J+60 — CFP seulement / liste de réserve</v>
      </c>
    </row>
    <row r="14" spans="1:22" ht="52.05" customHeight="1" x14ac:dyDescent="0.3">
      <c r="A14" s="17">
        <v>11</v>
      </c>
      <c r="B14" s="18" t="s">
        <v>111</v>
      </c>
      <c r="C14" s="19" t="s">
        <v>38</v>
      </c>
      <c r="D14" s="19" t="s">
        <v>112</v>
      </c>
      <c r="E14" s="19" t="s">
        <v>50</v>
      </c>
      <c r="F14" s="19"/>
      <c r="G14" s="19" t="s">
        <v>96</v>
      </c>
      <c r="H14" s="19" t="s">
        <v>113</v>
      </c>
      <c r="I14" s="19"/>
      <c r="J14" s="19"/>
      <c r="K14" s="19"/>
      <c r="L14" s="19" t="s">
        <v>45</v>
      </c>
      <c r="M14" s="19" t="s">
        <v>93</v>
      </c>
      <c r="N14" s="21"/>
      <c r="O14" s="20"/>
      <c r="P14" s="20"/>
      <c r="Q14" s="20"/>
      <c r="R14" s="21"/>
      <c r="S14" s="21"/>
      <c r="T14" s="22">
        <f t="shared" si="0"/>
        <v>0</v>
      </c>
      <c r="U14" s="23" t="str">
        <f t="shared" si="1"/>
        <v>Tier 3 — Réserve</v>
      </c>
      <c r="V14" s="19" t="str">
        <f t="shared" si="2"/>
        <v>J+60 — CFP seulement / liste de réserve</v>
      </c>
    </row>
    <row r="15" spans="1:22" ht="52.05" customHeight="1" x14ac:dyDescent="0.3">
      <c r="A15" s="24">
        <v>12</v>
      </c>
      <c r="B15" s="25" t="s">
        <v>114</v>
      </c>
      <c r="C15" s="26" t="s">
        <v>38</v>
      </c>
      <c r="D15" s="26" t="s">
        <v>59</v>
      </c>
      <c r="E15" s="26" t="s">
        <v>60</v>
      </c>
      <c r="F15" s="26" t="s">
        <v>115</v>
      </c>
      <c r="G15" s="26" t="s">
        <v>96</v>
      </c>
      <c r="H15" s="26" t="s">
        <v>116</v>
      </c>
      <c r="I15" s="26" t="s">
        <v>117</v>
      </c>
      <c r="J15" s="26"/>
      <c r="K15" s="26" t="s">
        <v>118</v>
      </c>
      <c r="L15" s="26" t="s">
        <v>45</v>
      </c>
      <c r="M15" s="26" t="s">
        <v>63</v>
      </c>
      <c r="N15" s="21"/>
      <c r="O15" s="21"/>
      <c r="P15" s="20"/>
      <c r="Q15" s="20"/>
      <c r="R15" s="21"/>
      <c r="S15" s="21"/>
      <c r="T15" s="22">
        <f t="shared" si="0"/>
        <v>0</v>
      </c>
      <c r="U15" s="23" t="str">
        <f t="shared" si="1"/>
        <v>Tier 3 — Réserve</v>
      </c>
      <c r="V15" s="26" t="str">
        <f t="shared" si="2"/>
        <v>J+60 — CFP seulement / liste de réserve</v>
      </c>
    </row>
    <row r="16" spans="1:22" ht="52.05" customHeight="1" x14ac:dyDescent="0.3">
      <c r="A16" s="17">
        <v>13</v>
      </c>
      <c r="B16" s="18" t="s">
        <v>119</v>
      </c>
      <c r="C16" s="19" t="s">
        <v>38</v>
      </c>
      <c r="D16" s="19" t="s">
        <v>106</v>
      </c>
      <c r="E16" s="19" t="s">
        <v>40</v>
      </c>
      <c r="F16" s="19"/>
      <c r="G16" s="19" t="s">
        <v>120</v>
      </c>
      <c r="H16" s="19" t="s">
        <v>121</v>
      </c>
      <c r="I16" s="19" t="s">
        <v>122</v>
      </c>
      <c r="J16" s="19"/>
      <c r="K16" s="19" t="s">
        <v>123</v>
      </c>
      <c r="L16" s="19" t="s">
        <v>45</v>
      </c>
      <c r="M16" s="19" t="s">
        <v>46</v>
      </c>
      <c r="N16" s="21"/>
      <c r="O16" s="20"/>
      <c r="P16" s="20"/>
      <c r="Q16" s="21"/>
      <c r="R16" s="21"/>
      <c r="S16" s="21"/>
      <c r="T16" s="22">
        <f t="shared" si="0"/>
        <v>0</v>
      </c>
      <c r="U16" s="23" t="str">
        <f t="shared" si="1"/>
        <v>Tier 3 — Réserve</v>
      </c>
      <c r="V16" s="19" t="str">
        <f t="shared" si="2"/>
        <v>J+60 — CFP seulement / liste de réserve</v>
      </c>
    </row>
    <row r="17" spans="1:22" ht="52.05" customHeight="1" x14ac:dyDescent="0.3">
      <c r="A17" s="24">
        <v>14</v>
      </c>
      <c r="B17" s="25" t="s">
        <v>124</v>
      </c>
      <c r="C17" s="26" t="s">
        <v>48</v>
      </c>
      <c r="D17" s="26" t="s">
        <v>125</v>
      </c>
      <c r="E17" s="26" t="s">
        <v>50</v>
      </c>
      <c r="F17" s="26"/>
      <c r="G17" s="26" t="s">
        <v>52</v>
      </c>
      <c r="H17" s="26" t="s">
        <v>126</v>
      </c>
      <c r="I17" s="26" t="s">
        <v>127</v>
      </c>
      <c r="J17" s="26"/>
      <c r="K17" s="26" t="s">
        <v>128</v>
      </c>
      <c r="L17" s="26" t="s">
        <v>45</v>
      </c>
      <c r="M17" s="26" t="s">
        <v>46</v>
      </c>
      <c r="N17" s="20"/>
      <c r="O17" s="20"/>
      <c r="P17" s="20"/>
      <c r="Q17" s="27"/>
      <c r="R17" s="20"/>
      <c r="S17" s="20"/>
      <c r="T17" s="22">
        <f t="shared" si="0"/>
        <v>0</v>
      </c>
      <c r="U17" s="23" t="str">
        <f t="shared" si="1"/>
        <v>Tier 3 — Réserve</v>
      </c>
      <c r="V17" s="26" t="str">
        <f t="shared" si="2"/>
        <v>J+60 — CFP seulement / liste de réserve</v>
      </c>
    </row>
    <row r="18" spans="1:22" ht="52.05" customHeight="1" x14ac:dyDescent="0.3">
      <c r="A18" s="17">
        <v>15</v>
      </c>
      <c r="B18" s="18" t="s">
        <v>129</v>
      </c>
      <c r="C18" s="19" t="s">
        <v>38</v>
      </c>
      <c r="D18" s="19" t="s">
        <v>59</v>
      </c>
      <c r="E18" s="19" t="s">
        <v>60</v>
      </c>
      <c r="F18" s="19" t="s">
        <v>130</v>
      </c>
      <c r="G18" s="19" t="s">
        <v>107</v>
      </c>
      <c r="H18" s="19" t="s">
        <v>131</v>
      </c>
      <c r="I18" s="19" t="s">
        <v>117</v>
      </c>
      <c r="J18" s="19"/>
      <c r="K18" s="19" t="s">
        <v>132</v>
      </c>
      <c r="L18" s="19" t="s">
        <v>45</v>
      </c>
      <c r="M18" s="19" t="s">
        <v>63</v>
      </c>
      <c r="N18" s="21"/>
      <c r="O18" s="20"/>
      <c r="P18" s="20"/>
      <c r="Q18" s="20"/>
      <c r="R18" s="20"/>
      <c r="S18" s="21"/>
      <c r="T18" s="22">
        <f t="shared" si="0"/>
        <v>0</v>
      </c>
      <c r="U18" s="23" t="str">
        <f t="shared" si="1"/>
        <v>Tier 3 — Réserve</v>
      </c>
      <c r="V18" s="19" t="str">
        <f t="shared" si="2"/>
        <v>J+60 — CFP seulement / liste de réserve</v>
      </c>
    </row>
    <row r="19" spans="1:22" ht="52.05" customHeight="1" x14ac:dyDescent="0.3">
      <c r="A19" s="24">
        <v>16</v>
      </c>
      <c r="B19" s="25" t="s">
        <v>133</v>
      </c>
      <c r="C19" s="26" t="s">
        <v>38</v>
      </c>
      <c r="D19" s="26" t="s">
        <v>134</v>
      </c>
      <c r="E19" s="26" t="s">
        <v>60</v>
      </c>
      <c r="F19" s="26"/>
      <c r="G19" s="26" t="s">
        <v>41</v>
      </c>
      <c r="H19" s="26" t="s">
        <v>135</v>
      </c>
      <c r="I19" s="26"/>
      <c r="J19" s="26"/>
      <c r="K19" s="26"/>
      <c r="L19" s="26" t="s">
        <v>45</v>
      </c>
      <c r="M19" s="26" t="s">
        <v>63</v>
      </c>
      <c r="N19" s="21"/>
      <c r="O19" s="21"/>
      <c r="P19" s="20"/>
      <c r="Q19" s="21"/>
      <c r="R19" s="21"/>
      <c r="S19" s="21"/>
      <c r="T19" s="22">
        <f t="shared" si="0"/>
        <v>0</v>
      </c>
      <c r="U19" s="23" t="str">
        <f t="shared" si="1"/>
        <v>Tier 3 — Réserve</v>
      </c>
      <c r="V19" s="26" t="str">
        <f t="shared" si="2"/>
        <v>J+60 — CFP seulement / liste de réserve</v>
      </c>
    </row>
    <row r="20" spans="1:22" ht="52.05" customHeight="1" x14ac:dyDescent="0.3">
      <c r="A20" s="17">
        <v>17</v>
      </c>
      <c r="B20" s="18" t="s">
        <v>136</v>
      </c>
      <c r="C20" s="19" t="s">
        <v>48</v>
      </c>
      <c r="D20" s="19" t="s">
        <v>137</v>
      </c>
      <c r="E20" s="19" t="s">
        <v>40</v>
      </c>
      <c r="F20" s="19"/>
      <c r="G20" s="19" t="s">
        <v>138</v>
      </c>
      <c r="H20" s="19" t="s">
        <v>139</v>
      </c>
      <c r="I20" s="19" t="s">
        <v>98</v>
      </c>
      <c r="J20" s="19"/>
      <c r="K20" s="19" t="s">
        <v>140</v>
      </c>
      <c r="L20" s="19" t="s">
        <v>45</v>
      </c>
      <c r="M20" s="19" t="s">
        <v>46</v>
      </c>
      <c r="N20" s="28"/>
      <c r="O20" s="20"/>
      <c r="P20" s="20"/>
      <c r="Q20" s="20"/>
      <c r="R20" s="21"/>
      <c r="S20" s="28"/>
      <c r="T20" s="29">
        <f t="shared" si="0"/>
        <v>0</v>
      </c>
      <c r="U20" s="30" t="str">
        <f t="shared" si="1"/>
        <v>Tier 3 — Réserve</v>
      </c>
      <c r="V20" s="19" t="str">
        <f t="shared" si="2"/>
        <v>J+60 — CFP seulement / liste de réserve</v>
      </c>
    </row>
    <row r="21" spans="1:22" ht="52.05" customHeight="1" x14ac:dyDescent="0.3">
      <c r="A21" s="24">
        <v>18</v>
      </c>
      <c r="B21" s="25" t="s">
        <v>141</v>
      </c>
      <c r="C21" s="26" t="s">
        <v>38</v>
      </c>
      <c r="D21" s="26" t="s">
        <v>59</v>
      </c>
      <c r="E21" s="26" t="s">
        <v>60</v>
      </c>
      <c r="F21" s="26" t="s">
        <v>142</v>
      </c>
      <c r="G21" s="26" t="s">
        <v>96</v>
      </c>
      <c r="H21" s="26" t="s">
        <v>143</v>
      </c>
      <c r="I21" s="26" t="s">
        <v>117</v>
      </c>
      <c r="J21" s="26"/>
      <c r="K21" s="26" t="s">
        <v>118</v>
      </c>
      <c r="L21" s="26" t="s">
        <v>45</v>
      </c>
      <c r="M21" s="26" t="s">
        <v>63</v>
      </c>
      <c r="N21" s="28"/>
      <c r="O21" s="21"/>
      <c r="P21" s="20"/>
      <c r="Q21" s="20"/>
      <c r="R21" s="20"/>
      <c r="S21" s="21"/>
      <c r="T21" s="29">
        <f t="shared" si="0"/>
        <v>0</v>
      </c>
      <c r="U21" s="30" t="str">
        <f t="shared" si="1"/>
        <v>Tier 3 — Réserve</v>
      </c>
      <c r="V21" s="26" t="str">
        <f t="shared" si="2"/>
        <v>J+60 — CFP seulement / liste de réserve</v>
      </c>
    </row>
    <row r="22" spans="1:22" ht="52.05" customHeight="1" x14ac:dyDescent="0.3">
      <c r="A22" s="17">
        <v>19</v>
      </c>
      <c r="B22" s="18" t="s">
        <v>144</v>
      </c>
      <c r="C22" s="19" t="s">
        <v>38</v>
      </c>
      <c r="D22" s="19" t="s">
        <v>59</v>
      </c>
      <c r="E22" s="19" t="s">
        <v>60</v>
      </c>
      <c r="F22" s="19" t="s">
        <v>145</v>
      </c>
      <c r="G22" s="19" t="s">
        <v>107</v>
      </c>
      <c r="H22" s="19" t="s">
        <v>146</v>
      </c>
      <c r="I22" s="19" t="s">
        <v>117</v>
      </c>
      <c r="J22" s="19"/>
      <c r="K22" s="19" t="s">
        <v>118</v>
      </c>
      <c r="L22" s="19" t="s">
        <v>45</v>
      </c>
      <c r="M22" s="19" t="s">
        <v>63</v>
      </c>
      <c r="N22" s="28"/>
      <c r="O22" s="20"/>
      <c r="P22" s="20"/>
      <c r="Q22" s="20"/>
      <c r="R22" s="20"/>
      <c r="S22" s="28"/>
      <c r="T22" s="29">
        <f t="shared" si="0"/>
        <v>0</v>
      </c>
      <c r="U22" s="30" t="str">
        <f t="shared" si="1"/>
        <v>Tier 3 — Réserve</v>
      </c>
      <c r="V22" s="19" t="str">
        <f t="shared" si="2"/>
        <v>J+60 — CFP seulement / liste de réserve</v>
      </c>
    </row>
    <row r="23" spans="1:22" ht="52.05" customHeight="1" x14ac:dyDescent="0.3">
      <c r="A23" s="24">
        <v>20</v>
      </c>
      <c r="B23" s="25" t="s">
        <v>147</v>
      </c>
      <c r="C23" s="26" t="s">
        <v>38</v>
      </c>
      <c r="D23" s="26" t="s">
        <v>59</v>
      </c>
      <c r="E23" s="26" t="s">
        <v>60</v>
      </c>
      <c r="F23" s="26" t="s">
        <v>148</v>
      </c>
      <c r="G23" s="26" t="s">
        <v>107</v>
      </c>
      <c r="H23" s="26" t="s">
        <v>149</v>
      </c>
      <c r="I23" s="26" t="s">
        <v>150</v>
      </c>
      <c r="J23" s="26"/>
      <c r="K23" s="26" t="s">
        <v>118</v>
      </c>
      <c r="L23" s="26" t="s">
        <v>45</v>
      </c>
      <c r="M23" s="26" t="s">
        <v>63</v>
      </c>
      <c r="N23" s="21"/>
      <c r="O23" s="20"/>
      <c r="P23" s="20"/>
      <c r="Q23" s="20"/>
      <c r="R23" s="21"/>
      <c r="S23" s="28"/>
      <c r="T23" s="29">
        <f t="shared" si="0"/>
        <v>0</v>
      </c>
      <c r="U23" s="30" t="str">
        <f t="shared" si="1"/>
        <v>Tier 3 — Réserve</v>
      </c>
      <c r="V23" s="26" t="str">
        <f t="shared" si="2"/>
        <v>J+60 — CFP seulement / liste de réserve</v>
      </c>
    </row>
    <row r="24" spans="1:22" ht="52.05" customHeight="1" x14ac:dyDescent="0.3">
      <c r="A24" s="17">
        <v>21</v>
      </c>
      <c r="B24" s="18" t="s">
        <v>151</v>
      </c>
      <c r="C24" s="19" t="s">
        <v>38</v>
      </c>
      <c r="D24" s="19" t="s">
        <v>59</v>
      </c>
      <c r="E24" s="19" t="s">
        <v>60</v>
      </c>
      <c r="F24" s="19" t="s">
        <v>152</v>
      </c>
      <c r="G24" s="19" t="s">
        <v>96</v>
      </c>
      <c r="H24" s="19" t="s">
        <v>153</v>
      </c>
      <c r="I24" s="19" t="s">
        <v>117</v>
      </c>
      <c r="J24" s="19"/>
      <c r="K24" s="19" t="s">
        <v>118</v>
      </c>
      <c r="L24" s="19" t="s">
        <v>45</v>
      </c>
      <c r="M24" s="19" t="s">
        <v>63</v>
      </c>
      <c r="N24" s="21"/>
      <c r="O24" s="21"/>
      <c r="P24" s="20"/>
      <c r="Q24" s="20"/>
      <c r="R24" s="21"/>
      <c r="S24" s="28"/>
      <c r="T24" s="29">
        <f t="shared" si="0"/>
        <v>0</v>
      </c>
      <c r="U24" s="30" t="str">
        <f t="shared" si="1"/>
        <v>Tier 3 — Réserve</v>
      </c>
      <c r="V24" s="19" t="str">
        <f t="shared" si="2"/>
        <v>J+60 — CFP seulement / liste de réserve</v>
      </c>
    </row>
    <row r="25" spans="1:22" ht="52.05" customHeight="1" x14ac:dyDescent="0.3">
      <c r="A25" s="24">
        <v>22</v>
      </c>
      <c r="B25" s="25" t="s">
        <v>154</v>
      </c>
      <c r="C25" s="26" t="s">
        <v>155</v>
      </c>
      <c r="D25" s="26" t="s">
        <v>156</v>
      </c>
      <c r="E25" s="26" t="s">
        <v>157</v>
      </c>
      <c r="F25" s="26"/>
      <c r="G25" s="26" t="s">
        <v>41</v>
      </c>
      <c r="H25" s="26" t="s">
        <v>158</v>
      </c>
      <c r="I25" s="26" t="s">
        <v>159</v>
      </c>
      <c r="J25" s="26"/>
      <c r="K25" s="26" t="s">
        <v>160</v>
      </c>
      <c r="L25" s="26" t="s">
        <v>45</v>
      </c>
      <c r="M25" s="26" t="s">
        <v>46</v>
      </c>
      <c r="N25" s="20"/>
      <c r="O25" s="20"/>
      <c r="P25" s="27"/>
      <c r="Q25" s="20"/>
      <c r="R25" s="21"/>
      <c r="S25" s="21"/>
      <c r="T25" s="29">
        <f t="shared" si="0"/>
        <v>0</v>
      </c>
      <c r="U25" s="30" t="str">
        <f t="shared" si="1"/>
        <v>Tier 3 — Réserve</v>
      </c>
      <c r="V25" s="26" t="str">
        <f t="shared" si="2"/>
        <v>J+60 — CFP seulement / liste de réserve</v>
      </c>
    </row>
    <row r="26" spans="1:22" ht="52.05" customHeight="1" x14ac:dyDescent="0.3">
      <c r="A26" s="17">
        <v>23</v>
      </c>
      <c r="B26" s="18" t="s">
        <v>161</v>
      </c>
      <c r="C26" s="19" t="s">
        <v>38</v>
      </c>
      <c r="D26" s="19" t="s">
        <v>59</v>
      </c>
      <c r="E26" s="19" t="s">
        <v>60</v>
      </c>
      <c r="F26" s="19" t="s">
        <v>162</v>
      </c>
      <c r="G26" s="19" t="s">
        <v>107</v>
      </c>
      <c r="H26" s="19" t="s">
        <v>163</v>
      </c>
      <c r="I26" s="19" t="s">
        <v>117</v>
      </c>
      <c r="J26" s="19"/>
      <c r="K26" s="19" t="s">
        <v>118</v>
      </c>
      <c r="L26" s="19" t="s">
        <v>45</v>
      </c>
      <c r="M26" s="19" t="s">
        <v>63</v>
      </c>
      <c r="N26" s="28"/>
      <c r="O26" s="21"/>
      <c r="P26" s="20"/>
      <c r="Q26" s="20"/>
      <c r="R26" s="21"/>
      <c r="S26" s="28"/>
      <c r="T26" s="29">
        <f t="shared" si="0"/>
        <v>0</v>
      </c>
      <c r="U26" s="30" t="str">
        <f t="shared" si="1"/>
        <v>Tier 3 — Réserve</v>
      </c>
      <c r="V26" s="19" t="str">
        <f t="shared" si="2"/>
        <v>J+60 — CFP seulement / liste de réserve</v>
      </c>
    </row>
    <row r="27" spans="1:22" ht="52.05" customHeight="1" x14ac:dyDescent="0.3">
      <c r="A27" s="24">
        <v>24</v>
      </c>
      <c r="B27" s="25" t="s">
        <v>164</v>
      </c>
      <c r="C27" s="26" t="s">
        <v>38</v>
      </c>
      <c r="D27" s="26" t="s">
        <v>106</v>
      </c>
      <c r="E27" s="26" t="s">
        <v>40</v>
      </c>
      <c r="F27" s="26"/>
      <c r="G27" s="26" t="s">
        <v>107</v>
      </c>
      <c r="H27" s="26" t="s">
        <v>165</v>
      </c>
      <c r="I27" s="26" t="s">
        <v>109</v>
      </c>
      <c r="J27" s="26"/>
      <c r="K27" s="26" t="s">
        <v>166</v>
      </c>
      <c r="L27" s="26" t="s">
        <v>45</v>
      </c>
      <c r="M27" s="26" t="s">
        <v>46</v>
      </c>
      <c r="N27" s="28"/>
      <c r="O27" s="20"/>
      <c r="P27" s="20"/>
      <c r="Q27" s="20"/>
      <c r="R27" s="21"/>
      <c r="S27" s="27"/>
      <c r="T27" s="29">
        <f t="shared" si="0"/>
        <v>0</v>
      </c>
      <c r="U27" s="30" t="str">
        <f t="shared" si="1"/>
        <v>Tier 3 — Réserve</v>
      </c>
      <c r="V27" s="26" t="str">
        <f t="shared" si="2"/>
        <v>J+60 — CFP seulement / liste de réserve</v>
      </c>
    </row>
    <row r="28" spans="1:22" ht="52.05" customHeight="1" x14ac:dyDescent="0.3">
      <c r="A28" s="17">
        <v>25</v>
      </c>
      <c r="B28" s="18" t="s">
        <v>167</v>
      </c>
      <c r="C28" s="19" t="s">
        <v>78</v>
      </c>
      <c r="D28" s="19" t="s">
        <v>168</v>
      </c>
      <c r="E28" s="19" t="s">
        <v>80</v>
      </c>
      <c r="F28" s="19"/>
      <c r="G28" s="19" t="s">
        <v>169</v>
      </c>
      <c r="H28" s="19" t="s">
        <v>170</v>
      </c>
      <c r="I28" s="19"/>
      <c r="J28" s="19"/>
      <c r="K28" s="19"/>
      <c r="L28" s="19" t="s">
        <v>45</v>
      </c>
      <c r="M28" s="19" t="s">
        <v>93</v>
      </c>
      <c r="N28" s="20"/>
      <c r="O28" s="20"/>
      <c r="P28" s="27"/>
      <c r="Q28" s="20"/>
      <c r="R28" s="21"/>
      <c r="S28" s="21"/>
      <c r="T28" s="29">
        <f t="shared" si="0"/>
        <v>0</v>
      </c>
      <c r="U28" s="30" t="str">
        <f t="shared" si="1"/>
        <v>Tier 3 — Réserve</v>
      </c>
      <c r="V28" s="19" t="str">
        <f t="shared" si="2"/>
        <v>J+60 — CFP seulement / liste de réserve</v>
      </c>
    </row>
    <row r="29" spans="1:22" ht="52.05" customHeight="1" x14ac:dyDescent="0.3">
      <c r="A29" s="24">
        <v>26</v>
      </c>
      <c r="B29" s="25" t="s">
        <v>171</v>
      </c>
      <c r="C29" s="26" t="s">
        <v>38</v>
      </c>
      <c r="D29" s="26" t="s">
        <v>59</v>
      </c>
      <c r="E29" s="26" t="s">
        <v>60</v>
      </c>
      <c r="F29" s="26"/>
      <c r="G29" s="26" t="s">
        <v>169</v>
      </c>
      <c r="H29" s="26" t="s">
        <v>172</v>
      </c>
      <c r="I29" s="26"/>
      <c r="J29" s="26"/>
      <c r="K29" s="26"/>
      <c r="L29" s="26" t="s">
        <v>45</v>
      </c>
      <c r="M29" s="26" t="s">
        <v>63</v>
      </c>
      <c r="N29" s="21"/>
      <c r="O29" s="21"/>
      <c r="P29" s="20"/>
      <c r="Q29" s="21"/>
      <c r="R29" s="21"/>
      <c r="S29" s="28"/>
      <c r="T29" s="29">
        <f t="shared" si="0"/>
        <v>0</v>
      </c>
      <c r="U29" s="30" t="str">
        <f t="shared" si="1"/>
        <v>Tier 3 — Réserve</v>
      </c>
      <c r="V29" s="26" t="str">
        <f t="shared" si="2"/>
        <v>J+60 — CFP seulement / liste de réserve</v>
      </c>
    </row>
    <row r="30" spans="1:22" ht="52.05" customHeight="1" x14ac:dyDescent="0.3">
      <c r="A30" s="17">
        <v>27</v>
      </c>
      <c r="B30" s="18" t="s">
        <v>173</v>
      </c>
      <c r="C30" s="19" t="s">
        <v>38</v>
      </c>
      <c r="D30" s="19" t="s">
        <v>59</v>
      </c>
      <c r="E30" s="19" t="s">
        <v>60</v>
      </c>
      <c r="F30" s="19"/>
      <c r="G30" s="19" t="s">
        <v>169</v>
      </c>
      <c r="H30" s="19" t="s">
        <v>174</v>
      </c>
      <c r="I30" s="19"/>
      <c r="J30" s="19"/>
      <c r="K30" s="19"/>
      <c r="L30" s="19" t="s">
        <v>45</v>
      </c>
      <c r="M30" s="19" t="s">
        <v>63</v>
      </c>
      <c r="N30" s="21"/>
      <c r="O30" s="21"/>
      <c r="P30" s="20"/>
      <c r="Q30" s="20"/>
      <c r="R30" s="21"/>
      <c r="S30" s="28"/>
      <c r="T30" s="29">
        <f t="shared" si="0"/>
        <v>0</v>
      </c>
      <c r="U30" s="30" t="str">
        <f t="shared" si="1"/>
        <v>Tier 3 — Réserve</v>
      </c>
      <c r="V30" s="19" t="str">
        <f t="shared" si="2"/>
        <v>J+60 — CFP seulement / liste de réserve</v>
      </c>
    </row>
    <row r="31" spans="1:22" ht="52.05" customHeight="1" x14ac:dyDescent="0.3">
      <c r="A31" s="24">
        <v>28</v>
      </c>
      <c r="B31" s="25" t="s">
        <v>175</v>
      </c>
      <c r="C31" s="26" t="s">
        <v>38</v>
      </c>
      <c r="D31" s="26" t="s">
        <v>59</v>
      </c>
      <c r="E31" s="26" t="s">
        <v>60</v>
      </c>
      <c r="F31" s="26"/>
      <c r="G31" s="26" t="s">
        <v>169</v>
      </c>
      <c r="H31" s="26" t="s">
        <v>176</v>
      </c>
      <c r="I31" s="26"/>
      <c r="J31" s="26"/>
      <c r="K31" s="26"/>
      <c r="L31" s="26" t="s">
        <v>45</v>
      </c>
      <c r="M31" s="26" t="s">
        <v>63</v>
      </c>
      <c r="N31" s="21"/>
      <c r="O31" s="21"/>
      <c r="P31" s="20"/>
      <c r="Q31" s="20"/>
      <c r="R31" s="21"/>
      <c r="S31" s="28"/>
      <c r="T31" s="29">
        <f t="shared" si="0"/>
        <v>0</v>
      </c>
      <c r="U31" s="30" t="str">
        <f t="shared" si="1"/>
        <v>Tier 3 — Réserve</v>
      </c>
      <c r="V31" s="26" t="str">
        <f t="shared" si="2"/>
        <v>J+60 — CFP seulement / liste de réserve</v>
      </c>
    </row>
    <row r="32" spans="1:22" ht="52.05" customHeight="1" x14ac:dyDescent="0.3">
      <c r="A32" s="17">
        <v>29</v>
      </c>
      <c r="B32" s="18" t="s">
        <v>177</v>
      </c>
      <c r="C32" s="19" t="s">
        <v>38</v>
      </c>
      <c r="D32" s="19" t="s">
        <v>59</v>
      </c>
      <c r="E32" s="19" t="s">
        <v>60</v>
      </c>
      <c r="F32" s="19" t="s">
        <v>178</v>
      </c>
      <c r="G32" s="19" t="s">
        <v>169</v>
      </c>
      <c r="H32" s="19" t="s">
        <v>179</v>
      </c>
      <c r="I32" s="19" t="s">
        <v>180</v>
      </c>
      <c r="J32" s="19" t="s">
        <v>181</v>
      </c>
      <c r="K32" s="19" t="s">
        <v>118</v>
      </c>
      <c r="L32" s="19" t="s">
        <v>45</v>
      </c>
      <c r="M32" s="19" t="s">
        <v>63</v>
      </c>
      <c r="N32" s="21"/>
      <c r="O32" s="21"/>
      <c r="P32" s="20"/>
      <c r="Q32" s="20"/>
      <c r="R32" s="21"/>
      <c r="S32" s="28"/>
      <c r="T32" s="29">
        <f t="shared" si="0"/>
        <v>0</v>
      </c>
      <c r="U32" s="30" t="str">
        <f t="shared" si="1"/>
        <v>Tier 3 — Réserve</v>
      </c>
      <c r="V32" s="19" t="str">
        <f t="shared" si="2"/>
        <v>J+60 — CFP seulement / liste de réserve</v>
      </c>
    </row>
    <row r="33" spans="1:22" ht="52.05" customHeight="1" x14ac:dyDescent="0.3">
      <c r="A33" s="24">
        <v>30</v>
      </c>
      <c r="B33" s="25" t="s">
        <v>182</v>
      </c>
      <c r="C33" s="26" t="s">
        <v>38</v>
      </c>
      <c r="D33" s="26" t="s">
        <v>59</v>
      </c>
      <c r="E33" s="26" t="s">
        <v>60</v>
      </c>
      <c r="F33" s="26" t="s">
        <v>183</v>
      </c>
      <c r="G33" s="26" t="s">
        <v>96</v>
      </c>
      <c r="H33" s="26" t="s">
        <v>184</v>
      </c>
      <c r="I33" s="26" t="s">
        <v>117</v>
      </c>
      <c r="J33" s="26"/>
      <c r="K33" s="26" t="s">
        <v>118</v>
      </c>
      <c r="L33" s="26" t="s">
        <v>45</v>
      </c>
      <c r="M33" s="26" t="s">
        <v>63</v>
      </c>
      <c r="N33" s="28"/>
      <c r="O33" s="21"/>
      <c r="P33" s="20"/>
      <c r="Q33" s="20"/>
      <c r="R33" s="21"/>
      <c r="S33" s="28"/>
      <c r="T33" s="29">
        <f t="shared" si="0"/>
        <v>0</v>
      </c>
      <c r="U33" s="30" t="str">
        <f t="shared" si="1"/>
        <v>Tier 3 — Réserve</v>
      </c>
      <c r="V33" s="26" t="str">
        <f t="shared" si="2"/>
        <v>J+60 — CFP seulement / liste de réserve</v>
      </c>
    </row>
    <row r="34" spans="1:22" ht="52.05" customHeight="1" x14ac:dyDescent="0.3">
      <c r="A34" s="17">
        <v>31</v>
      </c>
      <c r="B34" s="18" t="s">
        <v>185</v>
      </c>
      <c r="C34" s="19" t="s">
        <v>38</v>
      </c>
      <c r="D34" s="19" t="s">
        <v>59</v>
      </c>
      <c r="E34" s="19" t="s">
        <v>60</v>
      </c>
      <c r="F34" s="19" t="s">
        <v>186</v>
      </c>
      <c r="G34" s="19" t="s">
        <v>96</v>
      </c>
      <c r="H34" s="19" t="s">
        <v>187</v>
      </c>
      <c r="I34" s="19" t="s">
        <v>117</v>
      </c>
      <c r="J34" s="19"/>
      <c r="K34" s="19" t="s">
        <v>118</v>
      </c>
      <c r="L34" s="19" t="s">
        <v>45</v>
      </c>
      <c r="M34" s="19" t="s">
        <v>63</v>
      </c>
      <c r="N34" s="28"/>
      <c r="O34" s="21"/>
      <c r="P34" s="20"/>
      <c r="Q34" s="20"/>
      <c r="R34" s="21"/>
      <c r="S34" s="28"/>
      <c r="T34" s="29">
        <f t="shared" si="0"/>
        <v>0</v>
      </c>
      <c r="U34" s="30" t="str">
        <f t="shared" si="1"/>
        <v>Tier 3 — Réserve</v>
      </c>
      <c r="V34" s="19" t="str">
        <f t="shared" si="2"/>
        <v>J+60 — CFP seulement / liste de réserve</v>
      </c>
    </row>
    <row r="35" spans="1:22" ht="52.05" customHeight="1" x14ac:dyDescent="0.3">
      <c r="A35" s="24">
        <v>32</v>
      </c>
      <c r="B35" s="25" t="s">
        <v>188</v>
      </c>
      <c r="C35" s="26" t="s">
        <v>38</v>
      </c>
      <c r="D35" s="26" t="s">
        <v>59</v>
      </c>
      <c r="E35" s="26" t="s">
        <v>60</v>
      </c>
      <c r="F35" s="26" t="s">
        <v>189</v>
      </c>
      <c r="G35" s="26" t="s">
        <v>190</v>
      </c>
      <c r="H35" s="26" t="s">
        <v>191</v>
      </c>
      <c r="I35" s="26" t="s">
        <v>192</v>
      </c>
      <c r="J35" s="26"/>
      <c r="K35" s="26" t="s">
        <v>193</v>
      </c>
      <c r="L35" s="26" t="s">
        <v>45</v>
      </c>
      <c r="M35" s="26" t="s">
        <v>63</v>
      </c>
      <c r="N35" s="28"/>
      <c r="O35" s="21"/>
      <c r="P35" s="20"/>
      <c r="Q35" s="21"/>
      <c r="R35" s="21"/>
      <c r="S35" s="28"/>
      <c r="T35" s="29">
        <f t="shared" si="0"/>
        <v>0</v>
      </c>
      <c r="U35" s="30" t="str">
        <f t="shared" si="1"/>
        <v>Tier 3 — Réserve</v>
      </c>
      <c r="V35" s="26" t="str">
        <f t="shared" si="2"/>
        <v>J+60 — CFP seulement / liste de réserve</v>
      </c>
    </row>
    <row r="36" spans="1:22" ht="52.05" customHeight="1" x14ac:dyDescent="0.3">
      <c r="A36" s="17">
        <v>33</v>
      </c>
      <c r="B36" s="18" t="s">
        <v>194</v>
      </c>
      <c r="C36" s="19" t="s">
        <v>38</v>
      </c>
      <c r="D36" s="19" t="s">
        <v>59</v>
      </c>
      <c r="E36" s="19" t="s">
        <v>60</v>
      </c>
      <c r="F36" s="19"/>
      <c r="G36" s="19" t="s">
        <v>169</v>
      </c>
      <c r="H36" s="19" t="s">
        <v>195</v>
      </c>
      <c r="I36" s="19"/>
      <c r="J36" s="19"/>
      <c r="K36" s="19"/>
      <c r="L36" s="19" t="s">
        <v>45</v>
      </c>
      <c r="M36" s="19" t="s">
        <v>63</v>
      </c>
      <c r="N36" s="21"/>
      <c r="O36" s="21"/>
      <c r="P36" s="20"/>
      <c r="Q36" s="21"/>
      <c r="R36" s="21"/>
      <c r="S36" s="28"/>
      <c r="T36" s="29">
        <f t="shared" ref="T36:T67" si="3">ROUND((N36*0.25+O36*0.2+P36*0.2+Q36*0.15+R36*0.1+S36*0.1),0)</f>
        <v>0</v>
      </c>
      <c r="U36" s="30" t="str">
        <f t="shared" ref="U36:U67" si="4">IF(T36&gt;=75,"Tier 1 — Prioritaire",IF(T36&gt;=50,"Tier 2 — À cultiver","Tier 3 — Réserve"))</f>
        <v>Tier 3 — Réserve</v>
      </c>
      <c r="V36" s="19" t="str">
        <f t="shared" ref="V36:V67" si="5">IF(T36&gt;=75,"J+0 à J+14 — Contact direct personnalisé",IF(T36&gt;=50,"J+30 — Approche CFP ou réseau commun","J+60 — CFP seulement / liste de réserve"))</f>
        <v>J+60 — CFP seulement / liste de réserve</v>
      </c>
    </row>
    <row r="37" spans="1:22" ht="52.05" customHeight="1" x14ac:dyDescent="0.3">
      <c r="A37" s="24">
        <v>34</v>
      </c>
      <c r="B37" s="25" t="s">
        <v>196</v>
      </c>
      <c r="C37" s="26" t="s">
        <v>38</v>
      </c>
      <c r="D37" s="26" t="s">
        <v>197</v>
      </c>
      <c r="E37" s="26" t="s">
        <v>50</v>
      </c>
      <c r="F37" s="26"/>
      <c r="G37" s="26" t="s">
        <v>107</v>
      </c>
      <c r="H37" s="26" t="s">
        <v>198</v>
      </c>
      <c r="I37" s="26" t="s">
        <v>199</v>
      </c>
      <c r="J37" s="26"/>
      <c r="K37" s="26" t="s">
        <v>200</v>
      </c>
      <c r="L37" s="26" t="s">
        <v>45</v>
      </c>
      <c r="M37" s="26" t="s">
        <v>46</v>
      </c>
      <c r="N37" s="28"/>
      <c r="O37" s="20"/>
      <c r="P37" s="21"/>
      <c r="Q37" s="20"/>
      <c r="R37" s="20"/>
      <c r="S37" s="28"/>
      <c r="T37" s="29">
        <f t="shared" si="3"/>
        <v>0</v>
      </c>
      <c r="U37" s="30" t="str">
        <f t="shared" si="4"/>
        <v>Tier 3 — Réserve</v>
      </c>
      <c r="V37" s="26" t="str">
        <f t="shared" si="5"/>
        <v>J+60 — CFP seulement / liste de réserve</v>
      </c>
    </row>
    <row r="38" spans="1:22" ht="52.05" customHeight="1" x14ac:dyDescent="0.3">
      <c r="A38" s="17">
        <v>35</v>
      </c>
      <c r="B38" s="18" t="s">
        <v>201</v>
      </c>
      <c r="C38" s="19" t="s">
        <v>155</v>
      </c>
      <c r="D38" s="19" t="s">
        <v>202</v>
      </c>
      <c r="E38" s="19" t="s">
        <v>40</v>
      </c>
      <c r="F38" s="19"/>
      <c r="G38" s="19" t="s">
        <v>203</v>
      </c>
      <c r="H38" s="19" t="s">
        <v>204</v>
      </c>
      <c r="I38" s="19" t="s">
        <v>205</v>
      </c>
      <c r="J38" s="19"/>
      <c r="K38" s="19" t="s">
        <v>206</v>
      </c>
      <c r="L38" s="19" t="s">
        <v>45</v>
      </c>
      <c r="M38" s="19" t="s">
        <v>46</v>
      </c>
      <c r="N38" s="20"/>
      <c r="O38" s="20"/>
      <c r="P38" s="27"/>
      <c r="Q38" s="21"/>
      <c r="R38" s="20"/>
      <c r="S38" s="21"/>
      <c r="T38" s="29">
        <f t="shared" si="3"/>
        <v>0</v>
      </c>
      <c r="U38" s="30" t="str">
        <f t="shared" si="4"/>
        <v>Tier 3 — Réserve</v>
      </c>
      <c r="V38" s="19" t="str">
        <f t="shared" si="5"/>
        <v>J+60 — CFP seulement / liste de réserve</v>
      </c>
    </row>
    <row r="39" spans="1:22" ht="52.05" customHeight="1" x14ac:dyDescent="0.3">
      <c r="A39" s="24">
        <v>36</v>
      </c>
      <c r="B39" s="25" t="s">
        <v>207</v>
      </c>
      <c r="C39" s="26" t="s">
        <v>208</v>
      </c>
      <c r="D39" s="26" t="s">
        <v>209</v>
      </c>
      <c r="E39" s="26" t="s">
        <v>210</v>
      </c>
      <c r="F39" s="26" t="s">
        <v>211</v>
      </c>
      <c r="G39" s="26" t="s">
        <v>169</v>
      </c>
      <c r="H39" s="26" t="s">
        <v>212</v>
      </c>
      <c r="I39" s="26" t="s">
        <v>150</v>
      </c>
      <c r="J39" s="26" t="s">
        <v>213</v>
      </c>
      <c r="K39" s="26" t="s">
        <v>214</v>
      </c>
      <c r="L39" s="26" t="s">
        <v>45</v>
      </c>
      <c r="M39" s="26" t="s">
        <v>93</v>
      </c>
      <c r="N39" s="20"/>
      <c r="O39" s="20"/>
      <c r="P39" s="28"/>
      <c r="Q39" s="20"/>
      <c r="R39" s="21"/>
      <c r="S39" s="21"/>
      <c r="T39" s="29">
        <f t="shared" si="3"/>
        <v>0</v>
      </c>
      <c r="U39" s="30" t="str">
        <f t="shared" si="4"/>
        <v>Tier 3 — Réserve</v>
      </c>
      <c r="V39" s="26" t="str">
        <f t="shared" si="5"/>
        <v>J+60 — CFP seulement / liste de réserve</v>
      </c>
    </row>
    <row r="40" spans="1:22" ht="52.05" customHeight="1" x14ac:dyDescent="0.3">
      <c r="A40" s="17">
        <v>37</v>
      </c>
      <c r="B40" s="18" t="s">
        <v>215</v>
      </c>
      <c r="C40" s="19" t="s">
        <v>38</v>
      </c>
      <c r="D40" s="19" t="s">
        <v>59</v>
      </c>
      <c r="E40" s="19" t="s">
        <v>60</v>
      </c>
      <c r="F40" s="19"/>
      <c r="G40" s="19" t="s">
        <v>190</v>
      </c>
      <c r="H40" s="19" t="s">
        <v>216</v>
      </c>
      <c r="I40" s="19"/>
      <c r="J40" s="19"/>
      <c r="K40" s="19"/>
      <c r="L40" s="19" t="s">
        <v>45</v>
      </c>
      <c r="M40" s="19" t="s">
        <v>63</v>
      </c>
      <c r="N40" s="28"/>
      <c r="O40" s="21"/>
      <c r="P40" s="20"/>
      <c r="Q40" s="20"/>
      <c r="R40" s="21"/>
      <c r="S40" s="28"/>
      <c r="T40" s="29">
        <f t="shared" si="3"/>
        <v>0</v>
      </c>
      <c r="U40" s="30" t="str">
        <f t="shared" si="4"/>
        <v>Tier 3 — Réserve</v>
      </c>
      <c r="V40" s="19" t="str">
        <f t="shared" si="5"/>
        <v>J+60 — CFP seulement / liste de réserve</v>
      </c>
    </row>
    <row r="41" spans="1:22" ht="52.05" customHeight="1" x14ac:dyDescent="0.3">
      <c r="A41" s="24">
        <v>38</v>
      </c>
      <c r="B41" s="25" t="s">
        <v>217</v>
      </c>
      <c r="C41" s="26" t="s">
        <v>38</v>
      </c>
      <c r="D41" s="26" t="s">
        <v>59</v>
      </c>
      <c r="E41" s="26" t="s">
        <v>60</v>
      </c>
      <c r="F41" s="26" t="s">
        <v>218</v>
      </c>
      <c r="G41" s="26" t="s">
        <v>219</v>
      </c>
      <c r="H41" s="26" t="s">
        <v>220</v>
      </c>
      <c r="I41" s="26" t="s">
        <v>221</v>
      </c>
      <c r="J41" s="26"/>
      <c r="K41" s="26" t="s">
        <v>118</v>
      </c>
      <c r="L41" s="26" t="s">
        <v>45</v>
      </c>
      <c r="M41" s="26" t="s">
        <v>63</v>
      </c>
      <c r="N41" s="21"/>
      <c r="O41" s="20"/>
      <c r="P41" s="21"/>
      <c r="Q41" s="21"/>
      <c r="R41" s="21"/>
      <c r="S41" s="28"/>
      <c r="T41" s="29">
        <f t="shared" si="3"/>
        <v>0</v>
      </c>
      <c r="U41" s="30" t="str">
        <f t="shared" si="4"/>
        <v>Tier 3 — Réserve</v>
      </c>
      <c r="V41" s="26" t="str">
        <f t="shared" si="5"/>
        <v>J+60 — CFP seulement / liste de réserve</v>
      </c>
    </row>
    <row r="42" spans="1:22" ht="52.05" customHeight="1" x14ac:dyDescent="0.3">
      <c r="A42" s="17">
        <v>39</v>
      </c>
      <c r="B42" s="18" t="s">
        <v>222</v>
      </c>
      <c r="C42" s="19" t="s">
        <v>38</v>
      </c>
      <c r="D42" s="19" t="s">
        <v>197</v>
      </c>
      <c r="E42" s="19" t="s">
        <v>50</v>
      </c>
      <c r="F42" s="19"/>
      <c r="G42" s="19" t="s">
        <v>96</v>
      </c>
      <c r="H42" s="19" t="s">
        <v>223</v>
      </c>
      <c r="I42" s="19" t="s">
        <v>199</v>
      </c>
      <c r="J42" s="19"/>
      <c r="K42" s="19" t="s">
        <v>200</v>
      </c>
      <c r="L42" s="19" t="s">
        <v>45</v>
      </c>
      <c r="M42" s="19" t="s">
        <v>46</v>
      </c>
      <c r="N42" s="21"/>
      <c r="O42" s="21"/>
      <c r="P42" s="21"/>
      <c r="Q42" s="20"/>
      <c r="R42" s="21"/>
      <c r="S42" s="28"/>
      <c r="T42" s="29">
        <f t="shared" si="3"/>
        <v>0</v>
      </c>
      <c r="U42" s="30" t="str">
        <f t="shared" si="4"/>
        <v>Tier 3 — Réserve</v>
      </c>
      <c r="V42" s="19" t="str">
        <f t="shared" si="5"/>
        <v>J+60 — CFP seulement / liste de réserve</v>
      </c>
    </row>
    <row r="43" spans="1:22" ht="52.05" customHeight="1" x14ac:dyDescent="0.3">
      <c r="A43" s="24">
        <v>40</v>
      </c>
      <c r="B43" s="25" t="s">
        <v>224</v>
      </c>
      <c r="C43" s="26" t="s">
        <v>155</v>
      </c>
      <c r="D43" s="26" t="s">
        <v>225</v>
      </c>
      <c r="E43" s="26" t="s">
        <v>40</v>
      </c>
      <c r="F43" s="26"/>
      <c r="G43" s="26" t="s">
        <v>226</v>
      </c>
      <c r="H43" s="26" t="s">
        <v>227</v>
      </c>
      <c r="I43" s="26" t="s">
        <v>228</v>
      </c>
      <c r="J43" s="26"/>
      <c r="K43" s="26" t="s">
        <v>229</v>
      </c>
      <c r="L43" s="26" t="s">
        <v>45</v>
      </c>
      <c r="M43" s="26" t="s">
        <v>46</v>
      </c>
      <c r="N43" s="20"/>
      <c r="O43" s="20"/>
      <c r="P43" s="27"/>
      <c r="Q43" s="21"/>
      <c r="R43" s="20"/>
      <c r="S43" s="21"/>
      <c r="T43" s="29">
        <f t="shared" si="3"/>
        <v>0</v>
      </c>
      <c r="U43" s="30" t="str">
        <f t="shared" si="4"/>
        <v>Tier 3 — Réserve</v>
      </c>
      <c r="V43" s="26" t="str">
        <f t="shared" si="5"/>
        <v>J+60 — CFP seulement / liste de réserve</v>
      </c>
    </row>
    <row r="44" spans="1:22" ht="52.05" customHeight="1" x14ac:dyDescent="0.3">
      <c r="A44" s="17">
        <v>41</v>
      </c>
      <c r="B44" s="18" t="s">
        <v>230</v>
      </c>
      <c r="C44" s="19" t="s">
        <v>38</v>
      </c>
      <c r="D44" s="19" t="s">
        <v>231</v>
      </c>
      <c r="E44" s="19" t="s">
        <v>50</v>
      </c>
      <c r="F44" s="19"/>
      <c r="G44" s="19" t="s">
        <v>96</v>
      </c>
      <c r="H44" s="19" t="s">
        <v>232</v>
      </c>
      <c r="I44" s="19" t="s">
        <v>233</v>
      </c>
      <c r="J44" s="19"/>
      <c r="K44" s="19" t="s">
        <v>234</v>
      </c>
      <c r="L44" s="19" t="s">
        <v>45</v>
      </c>
      <c r="M44" s="19" t="s">
        <v>46</v>
      </c>
      <c r="N44" s="21"/>
      <c r="O44" s="21"/>
      <c r="P44" s="20"/>
      <c r="Q44" s="21"/>
      <c r="R44" s="21"/>
      <c r="S44" s="28"/>
      <c r="T44" s="29">
        <f t="shared" si="3"/>
        <v>0</v>
      </c>
      <c r="U44" s="30" t="str">
        <f t="shared" si="4"/>
        <v>Tier 3 — Réserve</v>
      </c>
      <c r="V44" s="19" t="str">
        <f t="shared" si="5"/>
        <v>J+60 — CFP seulement / liste de réserve</v>
      </c>
    </row>
    <row r="45" spans="1:22" ht="52.05" customHeight="1" x14ac:dyDescent="0.3">
      <c r="A45" s="24">
        <v>42</v>
      </c>
      <c r="B45" s="25" t="s">
        <v>235</v>
      </c>
      <c r="C45" s="26" t="s">
        <v>236</v>
      </c>
      <c r="D45" s="26" t="s">
        <v>237</v>
      </c>
      <c r="E45" s="26" t="s">
        <v>238</v>
      </c>
      <c r="F45" s="26" t="s">
        <v>239</v>
      </c>
      <c r="G45" s="26" t="s">
        <v>240</v>
      </c>
      <c r="H45" s="26" t="s">
        <v>241</v>
      </c>
      <c r="I45" s="26" t="s">
        <v>242</v>
      </c>
      <c r="J45" s="26" t="s">
        <v>243</v>
      </c>
      <c r="K45" s="26" t="s">
        <v>244</v>
      </c>
      <c r="L45" s="26" t="s">
        <v>45</v>
      </c>
      <c r="M45" s="26" t="s">
        <v>93</v>
      </c>
      <c r="N45" s="20"/>
      <c r="O45" s="20"/>
      <c r="P45" s="27"/>
      <c r="Q45" s="27"/>
      <c r="R45" s="20"/>
      <c r="S45" s="20"/>
      <c r="T45" s="29">
        <f t="shared" si="3"/>
        <v>0</v>
      </c>
      <c r="U45" s="30" t="str">
        <f t="shared" si="4"/>
        <v>Tier 3 — Réserve</v>
      </c>
      <c r="V45" s="26" t="str">
        <f t="shared" si="5"/>
        <v>J+60 — CFP seulement / liste de réserve</v>
      </c>
    </row>
    <row r="46" spans="1:22" ht="52.05" customHeight="1" x14ac:dyDescent="0.3">
      <c r="A46" s="17">
        <v>43</v>
      </c>
      <c r="B46" s="18" t="s">
        <v>245</v>
      </c>
      <c r="C46" s="19" t="s">
        <v>78</v>
      </c>
      <c r="D46" s="19" t="s">
        <v>246</v>
      </c>
      <c r="E46" s="19" t="s">
        <v>247</v>
      </c>
      <c r="F46" s="19"/>
      <c r="G46" s="19" t="s">
        <v>107</v>
      </c>
      <c r="H46" s="19" t="s">
        <v>248</v>
      </c>
      <c r="I46" s="19"/>
      <c r="J46" s="19"/>
      <c r="K46" s="19"/>
      <c r="L46" s="19" t="s">
        <v>45</v>
      </c>
      <c r="M46" s="19" t="s">
        <v>93</v>
      </c>
      <c r="N46" s="20"/>
      <c r="O46" s="20"/>
      <c r="P46" s="27"/>
      <c r="Q46" s="27"/>
      <c r="R46" s="20"/>
      <c r="S46" s="20"/>
      <c r="T46" s="29">
        <f t="shared" si="3"/>
        <v>0</v>
      </c>
      <c r="U46" s="30" t="str">
        <f t="shared" si="4"/>
        <v>Tier 3 — Réserve</v>
      </c>
      <c r="V46" s="19" t="str">
        <f t="shared" si="5"/>
        <v>J+60 — CFP seulement / liste de réserve</v>
      </c>
    </row>
    <row r="47" spans="1:22" ht="52.05" customHeight="1" x14ac:dyDescent="0.3">
      <c r="A47" s="24">
        <v>44</v>
      </c>
      <c r="B47" s="25" t="s">
        <v>249</v>
      </c>
      <c r="C47" s="26" t="s">
        <v>250</v>
      </c>
      <c r="D47" s="26" t="s">
        <v>251</v>
      </c>
      <c r="E47" s="26" t="s">
        <v>50</v>
      </c>
      <c r="F47" s="26"/>
      <c r="G47" s="26" t="s">
        <v>252</v>
      </c>
      <c r="H47" s="26" t="s">
        <v>253</v>
      </c>
      <c r="I47" s="26" t="s">
        <v>254</v>
      </c>
      <c r="J47" s="26"/>
      <c r="K47" s="26" t="s">
        <v>255</v>
      </c>
      <c r="L47" s="26" t="s">
        <v>45</v>
      </c>
      <c r="M47" s="26" t="s">
        <v>46</v>
      </c>
      <c r="N47" s="21"/>
      <c r="O47" s="21"/>
      <c r="P47" s="21"/>
      <c r="Q47" s="21"/>
      <c r="R47" s="21"/>
      <c r="S47" s="20"/>
      <c r="T47" s="29">
        <f t="shared" si="3"/>
        <v>0</v>
      </c>
      <c r="U47" s="30" t="str">
        <f t="shared" si="4"/>
        <v>Tier 3 — Réserve</v>
      </c>
      <c r="V47" s="26" t="str">
        <f t="shared" si="5"/>
        <v>J+60 — CFP seulement / liste de réserve</v>
      </c>
    </row>
    <row r="48" spans="1:22" ht="52.05" customHeight="1" x14ac:dyDescent="0.3">
      <c r="A48" s="17">
        <v>45</v>
      </c>
      <c r="B48" s="18" t="s">
        <v>256</v>
      </c>
      <c r="C48" s="19" t="s">
        <v>257</v>
      </c>
      <c r="D48" s="19" t="s">
        <v>125</v>
      </c>
      <c r="E48" s="19" t="s">
        <v>50</v>
      </c>
      <c r="F48" s="19" t="s">
        <v>258</v>
      </c>
      <c r="G48" s="19" t="s">
        <v>219</v>
      </c>
      <c r="H48" s="19" t="s">
        <v>259</v>
      </c>
      <c r="I48" s="19" t="s">
        <v>242</v>
      </c>
      <c r="J48" s="19" t="s">
        <v>260</v>
      </c>
      <c r="K48" s="19" t="s">
        <v>261</v>
      </c>
      <c r="L48" s="19" t="s">
        <v>45</v>
      </c>
      <c r="M48" s="19" t="s">
        <v>93</v>
      </c>
      <c r="N48" s="20"/>
      <c r="O48" s="20"/>
      <c r="P48" s="27"/>
      <c r="Q48" s="27"/>
      <c r="R48" s="20"/>
      <c r="S48" s="20"/>
      <c r="T48" s="29">
        <f t="shared" si="3"/>
        <v>0</v>
      </c>
      <c r="U48" s="30" t="str">
        <f t="shared" si="4"/>
        <v>Tier 3 — Réserve</v>
      </c>
      <c r="V48" s="19" t="str">
        <f t="shared" si="5"/>
        <v>J+60 — CFP seulement / liste de réserve</v>
      </c>
    </row>
    <row r="49" spans="1:22" ht="52.05" customHeight="1" x14ac:dyDescent="0.3">
      <c r="A49" s="24">
        <v>46</v>
      </c>
      <c r="B49" s="25" t="s">
        <v>262</v>
      </c>
      <c r="C49" s="26" t="s">
        <v>257</v>
      </c>
      <c r="D49" s="26" t="s">
        <v>125</v>
      </c>
      <c r="E49" s="26" t="s">
        <v>50</v>
      </c>
      <c r="F49" s="26" t="s">
        <v>263</v>
      </c>
      <c r="G49" s="26" t="s">
        <v>219</v>
      </c>
      <c r="H49" s="26" t="s">
        <v>264</v>
      </c>
      <c r="I49" s="26" t="s">
        <v>90</v>
      </c>
      <c r="J49" s="26" t="s">
        <v>265</v>
      </c>
      <c r="K49" s="26" t="s">
        <v>266</v>
      </c>
      <c r="L49" s="26" t="s">
        <v>45</v>
      </c>
      <c r="M49" s="26" t="s">
        <v>93</v>
      </c>
      <c r="N49" s="20"/>
      <c r="O49" s="20"/>
      <c r="P49" s="27"/>
      <c r="Q49" s="28"/>
      <c r="R49" s="20"/>
      <c r="S49" s="20"/>
      <c r="T49" s="29">
        <f t="shared" si="3"/>
        <v>0</v>
      </c>
      <c r="U49" s="30" t="str">
        <f t="shared" si="4"/>
        <v>Tier 3 — Réserve</v>
      </c>
      <c r="V49" s="26" t="str">
        <f t="shared" si="5"/>
        <v>J+60 — CFP seulement / liste de réserve</v>
      </c>
    </row>
    <row r="50" spans="1:22" ht="52.05" customHeight="1" x14ac:dyDescent="0.3">
      <c r="A50" s="17">
        <v>47</v>
      </c>
      <c r="B50" s="18" t="s">
        <v>267</v>
      </c>
      <c r="C50" s="19" t="s">
        <v>38</v>
      </c>
      <c r="D50" s="19" t="s">
        <v>59</v>
      </c>
      <c r="E50" s="19" t="s">
        <v>60</v>
      </c>
      <c r="F50" s="19" t="s">
        <v>268</v>
      </c>
      <c r="G50" s="19" t="s">
        <v>96</v>
      </c>
      <c r="H50" s="19" t="s">
        <v>269</v>
      </c>
      <c r="I50" s="19" t="s">
        <v>270</v>
      </c>
      <c r="J50" s="19" t="s">
        <v>271</v>
      </c>
      <c r="K50" s="19" t="s">
        <v>132</v>
      </c>
      <c r="L50" s="19" t="s">
        <v>45</v>
      </c>
      <c r="M50" s="19" t="s">
        <v>63</v>
      </c>
      <c r="N50" s="28"/>
      <c r="O50" s="21"/>
      <c r="P50" s="20"/>
      <c r="Q50" s="20"/>
      <c r="R50" s="21"/>
      <c r="S50" s="28"/>
      <c r="T50" s="29">
        <f t="shared" si="3"/>
        <v>0</v>
      </c>
      <c r="U50" s="30" t="str">
        <f t="shared" si="4"/>
        <v>Tier 3 — Réserve</v>
      </c>
      <c r="V50" s="19" t="str">
        <f t="shared" si="5"/>
        <v>J+60 — CFP seulement / liste de réserve</v>
      </c>
    </row>
    <row r="51" spans="1:22" ht="52.05" customHeight="1" x14ac:dyDescent="0.3">
      <c r="A51" s="24">
        <v>48</v>
      </c>
      <c r="B51" s="25" t="s">
        <v>272</v>
      </c>
      <c r="C51" s="26" t="s">
        <v>38</v>
      </c>
      <c r="D51" s="26" t="s">
        <v>59</v>
      </c>
      <c r="E51" s="26" t="s">
        <v>60</v>
      </c>
      <c r="F51" s="26" t="s">
        <v>273</v>
      </c>
      <c r="G51" s="26" t="s">
        <v>96</v>
      </c>
      <c r="H51" s="26" t="s">
        <v>274</v>
      </c>
      <c r="I51" s="26" t="s">
        <v>117</v>
      </c>
      <c r="J51" s="26"/>
      <c r="K51" s="26" t="s">
        <v>118</v>
      </c>
      <c r="L51" s="26" t="s">
        <v>45</v>
      </c>
      <c r="M51" s="26" t="s">
        <v>63</v>
      </c>
      <c r="N51" s="28"/>
      <c r="O51" s="21"/>
      <c r="P51" s="20"/>
      <c r="Q51" s="20"/>
      <c r="R51" s="21"/>
      <c r="S51" s="28"/>
      <c r="T51" s="29">
        <f t="shared" si="3"/>
        <v>0</v>
      </c>
      <c r="U51" s="30" t="str">
        <f t="shared" si="4"/>
        <v>Tier 3 — Réserve</v>
      </c>
      <c r="V51" s="26" t="str">
        <f t="shared" si="5"/>
        <v>J+60 — CFP seulement / liste de réserve</v>
      </c>
    </row>
    <row r="52" spans="1:22" ht="52.05" customHeight="1" x14ac:dyDescent="0.3">
      <c r="A52" s="17">
        <v>49</v>
      </c>
      <c r="B52" s="18" t="s">
        <v>275</v>
      </c>
      <c r="C52" s="19" t="s">
        <v>48</v>
      </c>
      <c r="D52" s="19" t="s">
        <v>276</v>
      </c>
      <c r="E52" s="19" t="s">
        <v>50</v>
      </c>
      <c r="F52" s="19"/>
      <c r="G52" s="19" t="s">
        <v>277</v>
      </c>
      <c r="H52" s="19" t="s">
        <v>278</v>
      </c>
      <c r="I52" s="19" t="s">
        <v>279</v>
      </c>
      <c r="J52" s="19"/>
      <c r="K52" s="19" t="s">
        <v>280</v>
      </c>
      <c r="L52" s="19" t="s">
        <v>45</v>
      </c>
      <c r="M52" s="19" t="s">
        <v>46</v>
      </c>
      <c r="N52" s="28"/>
      <c r="O52" s="21"/>
      <c r="P52" s="21"/>
      <c r="Q52" s="20"/>
      <c r="R52" s="21"/>
      <c r="S52" s="28"/>
      <c r="T52" s="29">
        <f t="shared" si="3"/>
        <v>0</v>
      </c>
      <c r="U52" s="30" t="str">
        <f t="shared" si="4"/>
        <v>Tier 3 — Réserve</v>
      </c>
      <c r="V52" s="19" t="str">
        <f t="shared" si="5"/>
        <v>J+60 — CFP seulement / liste de réserve</v>
      </c>
    </row>
    <row r="53" spans="1:22" ht="52.05" customHeight="1" x14ac:dyDescent="0.3">
      <c r="A53" s="24">
        <v>50</v>
      </c>
      <c r="B53" s="25" t="s">
        <v>281</v>
      </c>
      <c r="C53" s="26" t="s">
        <v>38</v>
      </c>
      <c r="D53" s="26" t="s">
        <v>282</v>
      </c>
      <c r="E53" s="26" t="s">
        <v>50</v>
      </c>
      <c r="F53" s="26"/>
      <c r="G53" s="26" t="s">
        <v>283</v>
      </c>
      <c r="H53" s="26" t="s">
        <v>284</v>
      </c>
      <c r="I53" s="26" t="s">
        <v>75</v>
      </c>
      <c r="J53" s="26"/>
      <c r="K53" s="26" t="s">
        <v>285</v>
      </c>
      <c r="L53" s="26" t="s">
        <v>45</v>
      </c>
      <c r="M53" s="26" t="s">
        <v>46</v>
      </c>
      <c r="N53" s="27"/>
      <c r="O53" s="21"/>
      <c r="P53" s="20"/>
      <c r="Q53" s="20"/>
      <c r="R53" s="20"/>
      <c r="S53" s="28"/>
      <c r="T53" s="29">
        <f t="shared" si="3"/>
        <v>0</v>
      </c>
      <c r="U53" s="30" t="str">
        <f t="shared" si="4"/>
        <v>Tier 3 — Réserve</v>
      </c>
      <c r="V53" s="26" t="str">
        <f t="shared" si="5"/>
        <v>J+60 — CFP seulement / liste de réserve</v>
      </c>
    </row>
    <row r="54" spans="1:22" ht="52.05" customHeight="1" x14ac:dyDescent="0.3">
      <c r="A54" s="17">
        <v>51</v>
      </c>
      <c r="B54" s="18" t="s">
        <v>286</v>
      </c>
      <c r="C54" s="19" t="s">
        <v>38</v>
      </c>
      <c r="D54" s="19" t="s">
        <v>287</v>
      </c>
      <c r="E54" s="19" t="s">
        <v>40</v>
      </c>
      <c r="F54" s="19"/>
      <c r="G54" s="19" t="s">
        <v>96</v>
      </c>
      <c r="H54" s="19" t="s">
        <v>288</v>
      </c>
      <c r="I54" s="19" t="s">
        <v>75</v>
      </c>
      <c r="J54" s="19"/>
      <c r="K54" s="19" t="s">
        <v>289</v>
      </c>
      <c r="L54" s="19" t="s">
        <v>45</v>
      </c>
      <c r="M54" s="19" t="s">
        <v>46</v>
      </c>
      <c r="N54" s="28"/>
      <c r="O54" s="21"/>
      <c r="P54" s="20"/>
      <c r="Q54" s="20"/>
      <c r="R54" s="21"/>
      <c r="S54" s="28"/>
      <c r="T54" s="29">
        <f t="shared" si="3"/>
        <v>0</v>
      </c>
      <c r="U54" s="30" t="str">
        <f t="shared" si="4"/>
        <v>Tier 3 — Réserve</v>
      </c>
      <c r="V54" s="19" t="str">
        <f t="shared" si="5"/>
        <v>J+60 — CFP seulement / liste de réserve</v>
      </c>
    </row>
    <row r="55" spans="1:22" ht="52.05" customHeight="1" x14ac:dyDescent="0.3">
      <c r="A55" s="24">
        <v>52</v>
      </c>
      <c r="B55" s="25" t="s">
        <v>290</v>
      </c>
      <c r="C55" s="26" t="s">
        <v>38</v>
      </c>
      <c r="D55" s="26" t="s">
        <v>197</v>
      </c>
      <c r="E55" s="26" t="s">
        <v>50</v>
      </c>
      <c r="F55" s="26"/>
      <c r="G55" s="26" t="s">
        <v>107</v>
      </c>
      <c r="H55" s="26" t="s">
        <v>291</v>
      </c>
      <c r="I55" s="26" t="s">
        <v>199</v>
      </c>
      <c r="J55" s="26"/>
      <c r="K55" s="26" t="s">
        <v>200</v>
      </c>
      <c r="L55" s="26" t="s">
        <v>45</v>
      </c>
      <c r="M55" s="26" t="s">
        <v>46</v>
      </c>
      <c r="N55" s="28"/>
      <c r="O55" s="20"/>
      <c r="P55" s="21"/>
      <c r="Q55" s="20"/>
      <c r="R55" s="21"/>
      <c r="S55" s="28"/>
      <c r="T55" s="29">
        <f t="shared" si="3"/>
        <v>0</v>
      </c>
      <c r="U55" s="30" t="str">
        <f t="shared" si="4"/>
        <v>Tier 3 — Réserve</v>
      </c>
      <c r="V55" s="26" t="str">
        <f t="shared" si="5"/>
        <v>J+60 — CFP seulement / liste de réserve</v>
      </c>
    </row>
    <row r="56" spans="1:22" ht="52.05" customHeight="1" x14ac:dyDescent="0.3">
      <c r="A56" s="17">
        <v>53</v>
      </c>
      <c r="B56" s="18" t="s">
        <v>292</v>
      </c>
      <c r="C56" s="19" t="s">
        <v>293</v>
      </c>
      <c r="D56" s="19" t="s">
        <v>294</v>
      </c>
      <c r="E56" s="19" t="s">
        <v>50</v>
      </c>
      <c r="F56" s="19" t="s">
        <v>295</v>
      </c>
      <c r="G56" s="19" t="s">
        <v>296</v>
      </c>
      <c r="H56" s="19" t="s">
        <v>297</v>
      </c>
      <c r="I56" s="19" t="s">
        <v>298</v>
      </c>
      <c r="J56" s="19" t="s">
        <v>299</v>
      </c>
      <c r="K56" s="19" t="s">
        <v>300</v>
      </c>
      <c r="L56" s="19" t="s">
        <v>45</v>
      </c>
      <c r="M56" s="19" t="s">
        <v>57</v>
      </c>
      <c r="N56" s="20"/>
      <c r="O56" s="20"/>
      <c r="P56" s="27"/>
      <c r="Q56" s="28"/>
      <c r="R56" s="20"/>
      <c r="S56" s="20"/>
      <c r="T56" s="29">
        <f t="shared" si="3"/>
        <v>0</v>
      </c>
      <c r="U56" s="30" t="str">
        <f t="shared" si="4"/>
        <v>Tier 3 — Réserve</v>
      </c>
      <c r="V56" s="19" t="str">
        <f t="shared" si="5"/>
        <v>J+60 — CFP seulement / liste de réserve</v>
      </c>
    </row>
    <row r="57" spans="1:22" ht="52.05" customHeight="1" x14ac:dyDescent="0.3">
      <c r="A57" s="24">
        <v>54</v>
      </c>
      <c r="B57" s="25" t="s">
        <v>301</v>
      </c>
      <c r="C57" s="26" t="s">
        <v>257</v>
      </c>
      <c r="D57" s="26" t="s">
        <v>125</v>
      </c>
      <c r="E57" s="26" t="s">
        <v>50</v>
      </c>
      <c r="F57" s="26" t="s">
        <v>302</v>
      </c>
      <c r="G57" s="26" t="s">
        <v>240</v>
      </c>
      <c r="H57" s="26" t="s">
        <v>303</v>
      </c>
      <c r="I57" s="26" t="s">
        <v>90</v>
      </c>
      <c r="J57" s="26" t="s">
        <v>304</v>
      </c>
      <c r="K57" s="26" t="s">
        <v>305</v>
      </c>
      <c r="L57" s="26" t="s">
        <v>45</v>
      </c>
      <c r="M57" s="26" t="s">
        <v>93</v>
      </c>
      <c r="N57" s="20"/>
      <c r="O57" s="20"/>
      <c r="P57" s="27"/>
      <c r="Q57" s="27"/>
      <c r="R57" s="20"/>
      <c r="S57" s="20"/>
      <c r="T57" s="29">
        <f t="shared" si="3"/>
        <v>0</v>
      </c>
      <c r="U57" s="30" t="str">
        <f t="shared" si="4"/>
        <v>Tier 3 — Réserve</v>
      </c>
      <c r="V57" s="26" t="str">
        <f t="shared" si="5"/>
        <v>J+60 — CFP seulement / liste de réserve</v>
      </c>
    </row>
    <row r="58" spans="1:22" ht="52.05" customHeight="1" x14ac:dyDescent="0.3">
      <c r="A58" s="17">
        <v>55</v>
      </c>
      <c r="B58" s="18" t="s">
        <v>306</v>
      </c>
      <c r="C58" s="19" t="s">
        <v>38</v>
      </c>
      <c r="D58" s="19" t="s">
        <v>197</v>
      </c>
      <c r="E58" s="19" t="s">
        <v>50</v>
      </c>
      <c r="F58" s="19"/>
      <c r="G58" s="19" t="s">
        <v>307</v>
      </c>
      <c r="H58" s="19" t="s">
        <v>308</v>
      </c>
      <c r="I58" s="19" t="s">
        <v>199</v>
      </c>
      <c r="J58" s="19"/>
      <c r="K58" s="19" t="s">
        <v>200</v>
      </c>
      <c r="L58" s="19" t="s">
        <v>45</v>
      </c>
      <c r="M58" s="19" t="s">
        <v>46</v>
      </c>
      <c r="N58" s="28"/>
      <c r="O58" s="21"/>
      <c r="P58" s="21"/>
      <c r="Q58" s="20"/>
      <c r="R58" s="21"/>
      <c r="S58" s="28"/>
      <c r="T58" s="29">
        <f t="shared" si="3"/>
        <v>0</v>
      </c>
      <c r="U58" s="30" t="str">
        <f t="shared" si="4"/>
        <v>Tier 3 — Réserve</v>
      </c>
      <c r="V58" s="19" t="str">
        <f t="shared" si="5"/>
        <v>J+60 — CFP seulement / liste de réserve</v>
      </c>
    </row>
    <row r="59" spans="1:22" ht="52.05" customHeight="1" x14ac:dyDescent="0.3">
      <c r="A59" s="24">
        <v>56</v>
      </c>
      <c r="B59" s="25" t="s">
        <v>309</v>
      </c>
      <c r="C59" s="26" t="s">
        <v>155</v>
      </c>
      <c r="D59" s="26" t="s">
        <v>310</v>
      </c>
      <c r="E59" s="26" t="s">
        <v>40</v>
      </c>
      <c r="F59" s="26"/>
      <c r="G59" s="26" t="s">
        <v>169</v>
      </c>
      <c r="H59" s="26" t="s">
        <v>311</v>
      </c>
      <c r="I59" s="26" t="s">
        <v>75</v>
      </c>
      <c r="J59" s="26"/>
      <c r="K59" s="26" t="s">
        <v>312</v>
      </c>
      <c r="L59" s="26" t="s">
        <v>45</v>
      </c>
      <c r="M59" s="26" t="s">
        <v>46</v>
      </c>
      <c r="N59" s="21"/>
      <c r="O59" s="20"/>
      <c r="P59" s="27"/>
      <c r="Q59" s="20"/>
      <c r="R59" s="21"/>
      <c r="S59" s="28"/>
      <c r="T59" s="29">
        <f t="shared" si="3"/>
        <v>0</v>
      </c>
      <c r="U59" s="30" t="str">
        <f t="shared" si="4"/>
        <v>Tier 3 — Réserve</v>
      </c>
      <c r="V59" s="26" t="str">
        <f t="shared" si="5"/>
        <v>J+60 — CFP seulement / liste de réserve</v>
      </c>
    </row>
    <row r="60" spans="1:22" ht="52.05" customHeight="1" x14ac:dyDescent="0.3">
      <c r="A60" s="17">
        <v>57</v>
      </c>
      <c r="B60" s="18" t="s">
        <v>313</v>
      </c>
      <c r="C60" s="19" t="s">
        <v>78</v>
      </c>
      <c r="D60" s="19" t="s">
        <v>314</v>
      </c>
      <c r="E60" s="19" t="s">
        <v>315</v>
      </c>
      <c r="F60" s="19"/>
      <c r="G60" s="19" t="s">
        <v>41</v>
      </c>
      <c r="H60" s="19" t="s">
        <v>316</v>
      </c>
      <c r="I60" s="19" t="s">
        <v>317</v>
      </c>
      <c r="J60" s="19"/>
      <c r="K60" s="19" t="s">
        <v>318</v>
      </c>
      <c r="L60" s="19" t="s">
        <v>45</v>
      </c>
      <c r="M60" s="19" t="s">
        <v>46</v>
      </c>
      <c r="N60" s="20"/>
      <c r="O60" s="20"/>
      <c r="P60" s="27"/>
      <c r="Q60" s="27"/>
      <c r="R60" s="20"/>
      <c r="S60" s="20"/>
      <c r="T60" s="29">
        <f t="shared" si="3"/>
        <v>0</v>
      </c>
      <c r="U60" s="30" t="str">
        <f t="shared" si="4"/>
        <v>Tier 3 — Réserve</v>
      </c>
      <c r="V60" s="19" t="str">
        <f t="shared" si="5"/>
        <v>J+60 — CFP seulement / liste de réserve</v>
      </c>
    </row>
    <row r="61" spans="1:22" ht="52.05" customHeight="1" x14ac:dyDescent="0.3">
      <c r="A61" s="24">
        <v>58</v>
      </c>
      <c r="B61" s="25" t="s">
        <v>319</v>
      </c>
      <c r="C61" s="26" t="s">
        <v>78</v>
      </c>
      <c r="D61" s="26" t="s">
        <v>168</v>
      </c>
      <c r="E61" s="26" t="s">
        <v>50</v>
      </c>
      <c r="F61" s="26"/>
      <c r="G61" s="26" t="s">
        <v>320</v>
      </c>
      <c r="H61" s="26" t="s">
        <v>321</v>
      </c>
      <c r="I61" s="26" t="s">
        <v>322</v>
      </c>
      <c r="J61" s="26"/>
      <c r="K61" s="26" t="s">
        <v>323</v>
      </c>
      <c r="L61" s="26" t="s">
        <v>45</v>
      </c>
      <c r="M61" s="26" t="s">
        <v>46</v>
      </c>
      <c r="N61" s="21"/>
      <c r="O61" s="20"/>
      <c r="P61" s="27"/>
      <c r="Q61" s="21"/>
      <c r="R61" s="20"/>
      <c r="S61" s="21"/>
      <c r="T61" s="29">
        <f t="shared" si="3"/>
        <v>0</v>
      </c>
      <c r="U61" s="30" t="str">
        <f t="shared" si="4"/>
        <v>Tier 3 — Réserve</v>
      </c>
      <c r="V61" s="26" t="str">
        <f t="shared" si="5"/>
        <v>J+60 — CFP seulement / liste de réserve</v>
      </c>
    </row>
    <row r="62" spans="1:22" ht="52.05" customHeight="1" x14ac:dyDescent="0.3">
      <c r="A62" s="17">
        <v>59</v>
      </c>
      <c r="B62" s="18" t="s">
        <v>324</v>
      </c>
      <c r="C62" s="19" t="s">
        <v>38</v>
      </c>
      <c r="D62" s="19" t="s">
        <v>59</v>
      </c>
      <c r="E62" s="19" t="s">
        <v>60</v>
      </c>
      <c r="F62" s="19" t="s">
        <v>325</v>
      </c>
      <c r="G62" s="19" t="s">
        <v>96</v>
      </c>
      <c r="H62" s="19" t="s">
        <v>326</v>
      </c>
      <c r="I62" s="19" t="s">
        <v>327</v>
      </c>
      <c r="J62" s="19"/>
      <c r="K62" s="19" t="s">
        <v>118</v>
      </c>
      <c r="L62" s="19" t="s">
        <v>45</v>
      </c>
      <c r="M62" s="19" t="s">
        <v>63</v>
      </c>
      <c r="N62" s="28"/>
      <c r="O62" s="21"/>
      <c r="P62" s="20"/>
      <c r="Q62" s="20"/>
      <c r="R62" s="21"/>
      <c r="S62" s="28"/>
      <c r="T62" s="29">
        <f t="shared" si="3"/>
        <v>0</v>
      </c>
      <c r="U62" s="30" t="str">
        <f t="shared" si="4"/>
        <v>Tier 3 — Réserve</v>
      </c>
      <c r="V62" s="19" t="str">
        <f t="shared" si="5"/>
        <v>J+60 — CFP seulement / liste de réserve</v>
      </c>
    </row>
    <row r="63" spans="1:22" ht="52.05" customHeight="1" x14ac:dyDescent="0.3">
      <c r="A63" s="24">
        <v>60</v>
      </c>
      <c r="B63" s="25" t="s">
        <v>328</v>
      </c>
      <c r="C63" s="26" t="s">
        <v>86</v>
      </c>
      <c r="D63" s="26" t="s">
        <v>329</v>
      </c>
      <c r="E63" s="26" t="s">
        <v>60</v>
      </c>
      <c r="F63" s="26" t="s">
        <v>330</v>
      </c>
      <c r="G63" s="26" t="s">
        <v>240</v>
      </c>
      <c r="H63" s="26" t="s">
        <v>331</v>
      </c>
      <c r="I63" s="26" t="s">
        <v>327</v>
      </c>
      <c r="J63" s="26"/>
      <c r="K63" s="26" t="s">
        <v>118</v>
      </c>
      <c r="L63" s="26" t="s">
        <v>45</v>
      </c>
      <c r="M63" s="26" t="s">
        <v>63</v>
      </c>
      <c r="N63" s="28"/>
      <c r="O63" s="21"/>
      <c r="P63" s="21"/>
      <c r="Q63" s="21"/>
      <c r="R63" s="21"/>
      <c r="S63" s="28"/>
      <c r="T63" s="29">
        <f t="shared" si="3"/>
        <v>0</v>
      </c>
      <c r="U63" s="30" t="str">
        <f t="shared" si="4"/>
        <v>Tier 3 — Réserve</v>
      </c>
      <c r="V63" s="26" t="str">
        <f t="shared" si="5"/>
        <v>J+60 — CFP seulement / liste de réserve</v>
      </c>
    </row>
    <row r="64" spans="1:22" ht="52.05" customHeight="1" x14ac:dyDescent="0.3">
      <c r="A64" s="17">
        <v>61</v>
      </c>
      <c r="B64" s="18" t="s">
        <v>332</v>
      </c>
      <c r="C64" s="19" t="s">
        <v>38</v>
      </c>
      <c r="D64" s="19" t="s">
        <v>59</v>
      </c>
      <c r="E64" s="19" t="s">
        <v>60</v>
      </c>
      <c r="F64" s="19" t="s">
        <v>333</v>
      </c>
      <c r="G64" s="19" t="s">
        <v>107</v>
      </c>
      <c r="H64" s="19" t="s">
        <v>334</v>
      </c>
      <c r="I64" s="19" t="s">
        <v>117</v>
      </c>
      <c r="J64" s="19"/>
      <c r="K64" s="19" t="s">
        <v>132</v>
      </c>
      <c r="L64" s="19" t="s">
        <v>45</v>
      </c>
      <c r="M64" s="19" t="s">
        <v>63</v>
      </c>
      <c r="N64" s="28"/>
      <c r="O64" s="21"/>
      <c r="P64" s="20"/>
      <c r="Q64" s="20"/>
      <c r="R64" s="21"/>
      <c r="S64" s="28"/>
      <c r="T64" s="29">
        <f t="shared" si="3"/>
        <v>0</v>
      </c>
      <c r="U64" s="30" t="str">
        <f t="shared" si="4"/>
        <v>Tier 3 — Réserve</v>
      </c>
      <c r="V64" s="19" t="str">
        <f t="shared" si="5"/>
        <v>J+60 — CFP seulement / liste de réserve</v>
      </c>
    </row>
    <row r="65" spans="1:22" ht="52.05" customHeight="1" x14ac:dyDescent="0.3">
      <c r="A65" s="24">
        <v>62</v>
      </c>
      <c r="B65" s="25" t="s">
        <v>335</v>
      </c>
      <c r="C65" s="26" t="s">
        <v>236</v>
      </c>
      <c r="D65" s="26" t="s">
        <v>336</v>
      </c>
      <c r="E65" s="26" t="s">
        <v>50</v>
      </c>
      <c r="F65" s="26"/>
      <c r="G65" s="26" t="s">
        <v>41</v>
      </c>
      <c r="H65" s="26" t="s">
        <v>337</v>
      </c>
      <c r="I65" s="26" t="s">
        <v>338</v>
      </c>
      <c r="J65" s="26"/>
      <c r="K65" s="26" t="s">
        <v>339</v>
      </c>
      <c r="L65" s="26" t="s">
        <v>45</v>
      </c>
      <c r="M65" s="26" t="s">
        <v>46</v>
      </c>
      <c r="N65" s="20"/>
      <c r="O65" s="20"/>
      <c r="P65" s="27"/>
      <c r="Q65" s="27"/>
      <c r="R65" s="20"/>
      <c r="S65" s="20"/>
      <c r="T65" s="29">
        <f t="shared" si="3"/>
        <v>0</v>
      </c>
      <c r="U65" s="30" t="str">
        <f t="shared" si="4"/>
        <v>Tier 3 — Réserve</v>
      </c>
      <c r="V65" s="26" t="str">
        <f t="shared" si="5"/>
        <v>J+60 — CFP seulement / liste de réserve</v>
      </c>
    </row>
    <row r="66" spans="1:22" ht="52.05" customHeight="1" x14ac:dyDescent="0.3">
      <c r="A66" s="17">
        <v>63</v>
      </c>
      <c r="B66" s="18" t="s">
        <v>340</v>
      </c>
      <c r="C66" s="19" t="s">
        <v>236</v>
      </c>
      <c r="D66" s="19" t="s">
        <v>341</v>
      </c>
      <c r="E66" s="19" t="s">
        <v>342</v>
      </c>
      <c r="F66" s="19" t="s">
        <v>343</v>
      </c>
      <c r="G66" s="19" t="s">
        <v>107</v>
      </c>
      <c r="H66" s="19" t="s">
        <v>344</v>
      </c>
      <c r="I66" s="19" t="s">
        <v>90</v>
      </c>
      <c r="J66" s="19" t="s">
        <v>345</v>
      </c>
      <c r="K66" s="19" t="s">
        <v>346</v>
      </c>
      <c r="L66" s="19" t="s">
        <v>45</v>
      </c>
      <c r="M66" s="19" t="s">
        <v>93</v>
      </c>
      <c r="N66" s="20"/>
      <c r="O66" s="20"/>
      <c r="P66" s="27"/>
      <c r="Q66" s="27"/>
      <c r="R66" s="21"/>
      <c r="S66" s="20"/>
      <c r="T66" s="29">
        <f t="shared" si="3"/>
        <v>0</v>
      </c>
      <c r="U66" s="30" t="str">
        <f t="shared" si="4"/>
        <v>Tier 3 — Réserve</v>
      </c>
      <c r="V66" s="19" t="str">
        <f t="shared" si="5"/>
        <v>J+60 — CFP seulement / liste de réserve</v>
      </c>
    </row>
    <row r="67" spans="1:22" ht="52.05" customHeight="1" x14ac:dyDescent="0.3">
      <c r="A67" s="24">
        <v>64</v>
      </c>
      <c r="B67" s="25" t="s">
        <v>347</v>
      </c>
      <c r="C67" s="26" t="s">
        <v>257</v>
      </c>
      <c r="D67" s="26" t="s">
        <v>125</v>
      </c>
      <c r="E67" s="26" t="s">
        <v>50</v>
      </c>
      <c r="F67" s="26" t="s">
        <v>348</v>
      </c>
      <c r="G67" s="26" t="s">
        <v>320</v>
      </c>
      <c r="H67" s="26" t="s">
        <v>349</v>
      </c>
      <c r="I67" s="26" t="s">
        <v>270</v>
      </c>
      <c r="J67" s="26" t="s">
        <v>350</v>
      </c>
      <c r="K67" s="26" t="s">
        <v>351</v>
      </c>
      <c r="L67" s="26" t="s">
        <v>45</v>
      </c>
      <c r="M67" s="26" t="s">
        <v>93</v>
      </c>
      <c r="N67" s="20"/>
      <c r="O67" s="20"/>
      <c r="P67" s="27"/>
      <c r="Q67" s="28"/>
      <c r="R67" s="20"/>
      <c r="S67" s="20"/>
      <c r="T67" s="29">
        <f t="shared" si="3"/>
        <v>0</v>
      </c>
      <c r="U67" s="30" t="str">
        <f t="shared" si="4"/>
        <v>Tier 3 — Réserve</v>
      </c>
      <c r="V67" s="26" t="str">
        <f t="shared" si="5"/>
        <v>J+60 — CFP seulement / liste de réserve</v>
      </c>
    </row>
    <row r="68" spans="1:22" ht="52.05" customHeight="1" x14ac:dyDescent="0.3">
      <c r="A68" s="17">
        <v>65</v>
      </c>
      <c r="B68" s="18" t="s">
        <v>352</v>
      </c>
      <c r="C68" s="19" t="s">
        <v>257</v>
      </c>
      <c r="D68" s="19" t="s">
        <v>353</v>
      </c>
      <c r="E68" s="19" t="s">
        <v>354</v>
      </c>
      <c r="F68" s="19" t="s">
        <v>355</v>
      </c>
      <c r="G68" s="19" t="s">
        <v>356</v>
      </c>
      <c r="H68" s="19" t="s">
        <v>357</v>
      </c>
      <c r="I68" s="19" t="s">
        <v>270</v>
      </c>
      <c r="J68" s="19" t="s">
        <v>358</v>
      </c>
      <c r="K68" s="19" t="s">
        <v>359</v>
      </c>
      <c r="L68" s="19" t="s">
        <v>45</v>
      </c>
      <c r="M68" s="19" t="s">
        <v>93</v>
      </c>
      <c r="N68" s="20"/>
      <c r="O68" s="20"/>
      <c r="P68" s="27"/>
      <c r="Q68" s="28"/>
      <c r="R68" s="21"/>
      <c r="S68" s="21"/>
      <c r="T68" s="29">
        <f t="shared" ref="T68:T99" si="6">ROUND((N68*0.25+O68*0.2+P68*0.2+Q68*0.15+R68*0.1+S68*0.1),0)</f>
        <v>0</v>
      </c>
      <c r="U68" s="30" t="str">
        <f t="shared" ref="U68:U99" si="7">IF(T68&gt;=75,"Tier 1 — Prioritaire",IF(T68&gt;=50,"Tier 2 — À cultiver","Tier 3 — Réserve"))</f>
        <v>Tier 3 — Réserve</v>
      </c>
      <c r="V68" s="19" t="str">
        <f t="shared" ref="V68:V99" si="8">IF(T68&gt;=75,"J+0 à J+14 — Contact direct personnalisé",IF(T68&gt;=50,"J+30 — Approche CFP ou réseau commun","J+60 — CFP seulement / liste de réserve"))</f>
        <v>J+60 — CFP seulement / liste de réserve</v>
      </c>
    </row>
    <row r="69" spans="1:22" ht="52.05" customHeight="1" x14ac:dyDescent="0.3">
      <c r="A69" s="24">
        <v>66</v>
      </c>
      <c r="B69" s="25" t="s">
        <v>360</v>
      </c>
      <c r="C69" s="26" t="s">
        <v>293</v>
      </c>
      <c r="D69" s="26" t="s">
        <v>361</v>
      </c>
      <c r="E69" s="26" t="s">
        <v>50</v>
      </c>
      <c r="F69" s="26" t="s">
        <v>362</v>
      </c>
      <c r="G69" s="26" t="s">
        <v>169</v>
      </c>
      <c r="H69" s="26" t="s">
        <v>363</v>
      </c>
      <c r="I69" s="26" t="s">
        <v>180</v>
      </c>
      <c r="J69" s="26" t="s">
        <v>364</v>
      </c>
      <c r="K69" s="26" t="s">
        <v>365</v>
      </c>
      <c r="L69" s="26" t="s">
        <v>45</v>
      </c>
      <c r="M69" s="26" t="s">
        <v>93</v>
      </c>
      <c r="N69" s="20"/>
      <c r="O69" s="21"/>
      <c r="P69" s="27"/>
      <c r="Q69" s="21"/>
      <c r="R69" s="21"/>
      <c r="S69" s="21"/>
      <c r="T69" s="29">
        <f t="shared" si="6"/>
        <v>0</v>
      </c>
      <c r="U69" s="30" t="str">
        <f t="shared" si="7"/>
        <v>Tier 3 — Réserve</v>
      </c>
      <c r="V69" s="26" t="str">
        <f t="shared" si="8"/>
        <v>J+60 — CFP seulement / liste de réserve</v>
      </c>
    </row>
    <row r="70" spans="1:22" ht="52.05" customHeight="1" x14ac:dyDescent="0.3">
      <c r="A70" s="17">
        <v>67</v>
      </c>
      <c r="B70" s="18" t="s">
        <v>366</v>
      </c>
      <c r="C70" s="19" t="s">
        <v>293</v>
      </c>
      <c r="D70" s="19" t="s">
        <v>361</v>
      </c>
      <c r="E70" s="19" t="s">
        <v>50</v>
      </c>
      <c r="F70" s="19" t="s">
        <v>367</v>
      </c>
      <c r="G70" s="19" t="s">
        <v>169</v>
      </c>
      <c r="H70" s="19" t="s">
        <v>368</v>
      </c>
      <c r="I70" s="19" t="s">
        <v>180</v>
      </c>
      <c r="J70" s="19" t="s">
        <v>369</v>
      </c>
      <c r="K70" s="19" t="s">
        <v>370</v>
      </c>
      <c r="L70" s="19" t="s">
        <v>45</v>
      </c>
      <c r="M70" s="19" t="s">
        <v>93</v>
      </c>
      <c r="N70" s="20"/>
      <c r="O70" s="21"/>
      <c r="P70" s="27"/>
      <c r="Q70" s="21"/>
      <c r="R70" s="21"/>
      <c r="S70" s="21"/>
      <c r="T70" s="29">
        <f t="shared" si="6"/>
        <v>0</v>
      </c>
      <c r="U70" s="30" t="str">
        <f t="shared" si="7"/>
        <v>Tier 3 — Réserve</v>
      </c>
      <c r="V70" s="19" t="str">
        <f t="shared" si="8"/>
        <v>J+60 — CFP seulement / liste de réserve</v>
      </c>
    </row>
    <row r="71" spans="1:22" ht="52.05" customHeight="1" x14ac:dyDescent="0.3">
      <c r="A71" s="24">
        <v>68</v>
      </c>
      <c r="B71" s="25" t="s">
        <v>371</v>
      </c>
      <c r="C71" s="26" t="s">
        <v>236</v>
      </c>
      <c r="D71" s="26" t="s">
        <v>372</v>
      </c>
      <c r="E71" s="26" t="s">
        <v>40</v>
      </c>
      <c r="F71" s="26"/>
      <c r="G71" s="26" t="s">
        <v>252</v>
      </c>
      <c r="H71" s="26" t="s">
        <v>373</v>
      </c>
      <c r="I71" s="26" t="s">
        <v>322</v>
      </c>
      <c r="J71" s="26"/>
      <c r="K71" s="26" t="s">
        <v>374</v>
      </c>
      <c r="L71" s="26" t="s">
        <v>45</v>
      </c>
      <c r="M71" s="26" t="s">
        <v>46</v>
      </c>
      <c r="N71" s="21"/>
      <c r="O71" s="20"/>
      <c r="P71" s="27"/>
      <c r="Q71" s="28"/>
      <c r="R71" s="20"/>
      <c r="S71" s="21"/>
      <c r="T71" s="29">
        <f t="shared" si="6"/>
        <v>0</v>
      </c>
      <c r="U71" s="30" t="str">
        <f t="shared" si="7"/>
        <v>Tier 3 — Réserve</v>
      </c>
      <c r="V71" s="26" t="str">
        <f t="shared" si="8"/>
        <v>J+60 — CFP seulement / liste de réserve</v>
      </c>
    </row>
    <row r="72" spans="1:22" ht="52.05" customHeight="1" x14ac:dyDescent="0.3">
      <c r="A72" s="17">
        <v>69</v>
      </c>
      <c r="B72" s="18" t="s">
        <v>375</v>
      </c>
      <c r="C72" s="19" t="s">
        <v>155</v>
      </c>
      <c r="D72" s="19" t="s">
        <v>156</v>
      </c>
      <c r="E72" s="19" t="s">
        <v>40</v>
      </c>
      <c r="F72" s="19"/>
      <c r="G72" s="19" t="s">
        <v>96</v>
      </c>
      <c r="H72" s="19" t="s">
        <v>376</v>
      </c>
      <c r="I72" s="19" t="s">
        <v>377</v>
      </c>
      <c r="J72" s="19"/>
      <c r="K72" s="19" t="s">
        <v>378</v>
      </c>
      <c r="L72" s="19" t="s">
        <v>45</v>
      </c>
      <c r="M72" s="19" t="s">
        <v>46</v>
      </c>
      <c r="N72" s="21"/>
      <c r="O72" s="20"/>
      <c r="P72" s="27"/>
      <c r="Q72" s="21"/>
      <c r="R72" s="21"/>
      <c r="S72" s="28"/>
      <c r="T72" s="29">
        <f t="shared" si="6"/>
        <v>0</v>
      </c>
      <c r="U72" s="30" t="str">
        <f t="shared" si="7"/>
        <v>Tier 3 — Réserve</v>
      </c>
      <c r="V72" s="19" t="str">
        <f t="shared" si="8"/>
        <v>J+60 — CFP seulement / liste de réserve</v>
      </c>
    </row>
    <row r="73" spans="1:22" ht="52.05" customHeight="1" x14ac:dyDescent="0.3">
      <c r="A73" s="24">
        <v>70</v>
      </c>
      <c r="B73" s="25" t="s">
        <v>379</v>
      </c>
      <c r="C73" s="26" t="s">
        <v>236</v>
      </c>
      <c r="D73" s="26" t="s">
        <v>380</v>
      </c>
      <c r="E73" s="26" t="s">
        <v>50</v>
      </c>
      <c r="F73" s="26" t="s">
        <v>381</v>
      </c>
      <c r="G73" s="26" t="s">
        <v>382</v>
      </c>
      <c r="H73" s="26" t="s">
        <v>383</v>
      </c>
      <c r="I73" s="26" t="s">
        <v>90</v>
      </c>
      <c r="J73" s="26" t="s">
        <v>384</v>
      </c>
      <c r="K73" s="26" t="s">
        <v>385</v>
      </c>
      <c r="L73" s="26" t="s">
        <v>45</v>
      </c>
      <c r="M73" s="26" t="s">
        <v>93</v>
      </c>
      <c r="N73" s="20"/>
      <c r="O73" s="21"/>
      <c r="P73" s="27"/>
      <c r="Q73" s="28"/>
      <c r="R73" s="20"/>
      <c r="S73" s="20"/>
      <c r="T73" s="29">
        <f t="shared" si="6"/>
        <v>0</v>
      </c>
      <c r="U73" s="30" t="str">
        <f t="shared" si="7"/>
        <v>Tier 3 — Réserve</v>
      </c>
      <c r="V73" s="26" t="str">
        <f t="shared" si="8"/>
        <v>J+60 — CFP seulement / liste de réserve</v>
      </c>
    </row>
    <row r="74" spans="1:22" ht="52.05" customHeight="1" x14ac:dyDescent="0.3">
      <c r="A74" s="17">
        <v>71</v>
      </c>
      <c r="B74" s="18" t="s">
        <v>386</v>
      </c>
      <c r="C74" s="19" t="s">
        <v>293</v>
      </c>
      <c r="D74" s="19" t="s">
        <v>361</v>
      </c>
      <c r="E74" s="19" t="s">
        <v>50</v>
      </c>
      <c r="F74" s="19" t="s">
        <v>387</v>
      </c>
      <c r="G74" s="19" t="s">
        <v>169</v>
      </c>
      <c r="H74" s="19" t="s">
        <v>388</v>
      </c>
      <c r="I74" s="19" t="s">
        <v>180</v>
      </c>
      <c r="J74" s="19" t="s">
        <v>389</v>
      </c>
      <c r="K74" s="19" t="s">
        <v>390</v>
      </c>
      <c r="L74" s="19" t="s">
        <v>45</v>
      </c>
      <c r="M74" s="19" t="s">
        <v>93</v>
      </c>
      <c r="N74" s="21"/>
      <c r="O74" s="21"/>
      <c r="P74" s="27"/>
      <c r="Q74" s="20"/>
      <c r="R74" s="21"/>
      <c r="S74" s="21"/>
      <c r="T74" s="29">
        <f t="shared" si="6"/>
        <v>0</v>
      </c>
      <c r="U74" s="30" t="str">
        <f t="shared" si="7"/>
        <v>Tier 3 — Réserve</v>
      </c>
      <c r="V74" s="19" t="str">
        <f t="shared" si="8"/>
        <v>J+60 — CFP seulement / liste de réserve</v>
      </c>
    </row>
    <row r="75" spans="1:22" ht="52.05" customHeight="1" x14ac:dyDescent="0.3">
      <c r="A75" s="24">
        <v>72</v>
      </c>
      <c r="B75" s="25" t="s">
        <v>391</v>
      </c>
      <c r="C75" s="26" t="s">
        <v>38</v>
      </c>
      <c r="D75" s="26" t="s">
        <v>282</v>
      </c>
      <c r="E75" s="26" t="s">
        <v>50</v>
      </c>
      <c r="F75" s="26" t="s">
        <v>392</v>
      </c>
      <c r="G75" s="26" t="s">
        <v>107</v>
      </c>
      <c r="H75" s="26" t="s">
        <v>393</v>
      </c>
      <c r="I75" s="26" t="s">
        <v>394</v>
      </c>
      <c r="J75" s="26"/>
      <c r="K75" s="26" t="s">
        <v>118</v>
      </c>
      <c r="L75" s="26" t="s">
        <v>45</v>
      </c>
      <c r="M75" s="26" t="s">
        <v>63</v>
      </c>
      <c r="N75" s="28"/>
      <c r="O75" s="21"/>
      <c r="P75" s="20"/>
      <c r="Q75" s="21"/>
      <c r="R75" s="21"/>
      <c r="S75" s="28"/>
      <c r="T75" s="29">
        <f t="shared" si="6"/>
        <v>0</v>
      </c>
      <c r="U75" s="30" t="str">
        <f t="shared" si="7"/>
        <v>Tier 3 — Réserve</v>
      </c>
      <c r="V75" s="26" t="str">
        <f t="shared" si="8"/>
        <v>J+60 — CFP seulement / liste de réserve</v>
      </c>
    </row>
    <row r="76" spans="1:22" ht="52.05" customHeight="1" x14ac:dyDescent="0.3">
      <c r="A76" s="17">
        <v>73</v>
      </c>
      <c r="B76" s="18" t="s">
        <v>395</v>
      </c>
      <c r="C76" s="19" t="s">
        <v>236</v>
      </c>
      <c r="D76" s="19" t="s">
        <v>341</v>
      </c>
      <c r="E76" s="19" t="s">
        <v>342</v>
      </c>
      <c r="F76" s="19"/>
      <c r="G76" s="19" t="s">
        <v>107</v>
      </c>
      <c r="H76" s="19" t="s">
        <v>396</v>
      </c>
      <c r="I76" s="19" t="s">
        <v>75</v>
      </c>
      <c r="J76" s="19"/>
      <c r="K76" s="19" t="s">
        <v>397</v>
      </c>
      <c r="L76" s="19" t="s">
        <v>45</v>
      </c>
      <c r="M76" s="19" t="s">
        <v>46</v>
      </c>
      <c r="N76" s="21"/>
      <c r="O76" s="20"/>
      <c r="P76" s="27"/>
      <c r="Q76" s="20"/>
      <c r="R76" s="20"/>
      <c r="S76" s="28"/>
      <c r="T76" s="29">
        <f t="shared" si="6"/>
        <v>0</v>
      </c>
      <c r="U76" s="30" t="str">
        <f t="shared" si="7"/>
        <v>Tier 3 — Réserve</v>
      </c>
      <c r="V76" s="19" t="str">
        <f t="shared" si="8"/>
        <v>J+60 — CFP seulement / liste de réserve</v>
      </c>
    </row>
    <row r="77" spans="1:22" ht="52.05" customHeight="1" x14ac:dyDescent="0.3">
      <c r="A77" s="24">
        <v>74</v>
      </c>
      <c r="B77" s="25" t="s">
        <v>398</v>
      </c>
      <c r="C77" s="26" t="s">
        <v>236</v>
      </c>
      <c r="D77" s="26" t="s">
        <v>399</v>
      </c>
      <c r="E77" s="26" t="s">
        <v>40</v>
      </c>
      <c r="F77" s="26"/>
      <c r="G77" s="26" t="s">
        <v>382</v>
      </c>
      <c r="H77" s="26" t="s">
        <v>400</v>
      </c>
      <c r="I77" s="26" t="s">
        <v>401</v>
      </c>
      <c r="J77" s="26"/>
      <c r="K77" s="26" t="s">
        <v>402</v>
      </c>
      <c r="L77" s="26" t="s">
        <v>45</v>
      </c>
      <c r="M77" s="26" t="s">
        <v>46</v>
      </c>
      <c r="N77" s="21"/>
      <c r="O77" s="20"/>
      <c r="P77" s="27"/>
      <c r="Q77" s="28"/>
      <c r="R77" s="20"/>
      <c r="S77" s="21"/>
      <c r="T77" s="29">
        <f t="shared" si="6"/>
        <v>0</v>
      </c>
      <c r="U77" s="30" t="str">
        <f t="shared" si="7"/>
        <v>Tier 3 — Réserve</v>
      </c>
      <c r="V77" s="26" t="str">
        <f t="shared" si="8"/>
        <v>J+60 — CFP seulement / liste de réserve</v>
      </c>
    </row>
    <row r="78" spans="1:22" ht="52.05" customHeight="1" x14ac:dyDescent="0.3">
      <c r="A78" s="17">
        <v>75</v>
      </c>
      <c r="B78" s="18" t="s">
        <v>403</v>
      </c>
      <c r="C78" s="19" t="s">
        <v>257</v>
      </c>
      <c r="D78" s="19" t="s">
        <v>125</v>
      </c>
      <c r="E78" s="19" t="s">
        <v>50</v>
      </c>
      <c r="F78" s="19" t="s">
        <v>404</v>
      </c>
      <c r="G78" s="19" t="s">
        <v>219</v>
      </c>
      <c r="H78" s="19" t="s">
        <v>405</v>
      </c>
      <c r="I78" s="19" t="s">
        <v>270</v>
      </c>
      <c r="J78" s="19" t="s">
        <v>406</v>
      </c>
      <c r="K78" s="19" t="s">
        <v>407</v>
      </c>
      <c r="L78" s="19" t="s">
        <v>45</v>
      </c>
      <c r="M78" s="19" t="s">
        <v>93</v>
      </c>
      <c r="N78" s="20"/>
      <c r="O78" s="21"/>
      <c r="P78" s="27"/>
      <c r="Q78" s="27"/>
      <c r="R78" s="21"/>
      <c r="S78" s="20"/>
      <c r="T78" s="29">
        <f t="shared" si="6"/>
        <v>0</v>
      </c>
      <c r="U78" s="30" t="str">
        <f t="shared" si="7"/>
        <v>Tier 3 — Réserve</v>
      </c>
      <c r="V78" s="19" t="str">
        <f t="shared" si="8"/>
        <v>J+60 — CFP seulement / liste de réserve</v>
      </c>
    </row>
    <row r="79" spans="1:22" ht="52.05" customHeight="1" x14ac:dyDescent="0.3">
      <c r="A79" s="24">
        <v>76</v>
      </c>
      <c r="B79" s="25" t="s">
        <v>408</v>
      </c>
      <c r="C79" s="26" t="s">
        <v>409</v>
      </c>
      <c r="D79" s="26" t="s">
        <v>410</v>
      </c>
      <c r="E79" s="26" t="s">
        <v>411</v>
      </c>
      <c r="F79" s="26" t="s">
        <v>412</v>
      </c>
      <c r="G79" s="26" t="s">
        <v>219</v>
      </c>
      <c r="H79" s="26" t="s">
        <v>413</v>
      </c>
      <c r="I79" s="26" t="s">
        <v>90</v>
      </c>
      <c r="J79" s="26" t="s">
        <v>414</v>
      </c>
      <c r="K79" s="26" t="s">
        <v>415</v>
      </c>
      <c r="L79" s="26" t="s">
        <v>45</v>
      </c>
      <c r="M79" s="26" t="s">
        <v>93</v>
      </c>
      <c r="N79" s="20"/>
      <c r="O79" s="21"/>
      <c r="P79" s="27"/>
      <c r="Q79" s="28"/>
      <c r="R79" s="20"/>
      <c r="S79" s="20"/>
      <c r="T79" s="29">
        <f t="shared" si="6"/>
        <v>0</v>
      </c>
      <c r="U79" s="30" t="str">
        <f t="shared" si="7"/>
        <v>Tier 3 — Réserve</v>
      </c>
      <c r="V79" s="26" t="str">
        <f t="shared" si="8"/>
        <v>J+60 — CFP seulement / liste de réserve</v>
      </c>
    </row>
    <row r="80" spans="1:22" ht="52.05" customHeight="1" x14ac:dyDescent="0.3">
      <c r="A80" s="17">
        <v>77</v>
      </c>
      <c r="B80" s="18" t="s">
        <v>416</v>
      </c>
      <c r="C80" s="19" t="s">
        <v>257</v>
      </c>
      <c r="D80" s="19" t="s">
        <v>125</v>
      </c>
      <c r="E80" s="19" t="s">
        <v>50</v>
      </c>
      <c r="F80" s="19" t="s">
        <v>417</v>
      </c>
      <c r="G80" s="19" t="s">
        <v>107</v>
      </c>
      <c r="H80" s="19" t="s">
        <v>418</v>
      </c>
      <c r="I80" s="19" t="s">
        <v>90</v>
      </c>
      <c r="J80" s="19" t="s">
        <v>350</v>
      </c>
      <c r="K80" s="19" t="s">
        <v>419</v>
      </c>
      <c r="L80" s="19" t="s">
        <v>45</v>
      </c>
      <c r="M80" s="19" t="s">
        <v>93</v>
      </c>
      <c r="N80" s="20"/>
      <c r="O80" s="20"/>
      <c r="P80" s="27"/>
      <c r="Q80" s="28"/>
      <c r="R80" s="20"/>
      <c r="S80" s="21"/>
      <c r="T80" s="29">
        <f t="shared" si="6"/>
        <v>0</v>
      </c>
      <c r="U80" s="30" t="str">
        <f t="shared" si="7"/>
        <v>Tier 3 — Réserve</v>
      </c>
      <c r="V80" s="19" t="str">
        <f t="shared" si="8"/>
        <v>J+60 — CFP seulement / liste de réserve</v>
      </c>
    </row>
    <row r="81" spans="1:22" ht="52.05" customHeight="1" x14ac:dyDescent="0.3">
      <c r="A81" s="24">
        <v>78</v>
      </c>
      <c r="B81" s="25" t="s">
        <v>420</v>
      </c>
      <c r="C81" s="26" t="s">
        <v>257</v>
      </c>
      <c r="D81" s="26" t="s">
        <v>125</v>
      </c>
      <c r="E81" s="26" t="s">
        <v>50</v>
      </c>
      <c r="F81" s="26" t="s">
        <v>421</v>
      </c>
      <c r="G81" s="26" t="s">
        <v>240</v>
      </c>
      <c r="H81" s="26" t="s">
        <v>422</v>
      </c>
      <c r="I81" s="26" t="s">
        <v>270</v>
      </c>
      <c r="J81" s="26" t="s">
        <v>423</v>
      </c>
      <c r="K81" s="26" t="s">
        <v>424</v>
      </c>
      <c r="L81" s="26" t="s">
        <v>45</v>
      </c>
      <c r="M81" s="26" t="s">
        <v>93</v>
      </c>
      <c r="N81" s="21"/>
      <c r="O81" s="20"/>
      <c r="P81" s="27"/>
      <c r="Q81" s="28"/>
      <c r="R81" s="21"/>
      <c r="S81" s="20"/>
      <c r="T81" s="29">
        <f t="shared" si="6"/>
        <v>0</v>
      </c>
      <c r="U81" s="30" t="str">
        <f t="shared" si="7"/>
        <v>Tier 3 — Réserve</v>
      </c>
      <c r="V81" s="26" t="str">
        <f t="shared" si="8"/>
        <v>J+60 — CFP seulement / liste de réserve</v>
      </c>
    </row>
    <row r="82" spans="1:22" ht="52.05" customHeight="1" x14ac:dyDescent="0.3">
      <c r="A82" s="17">
        <v>79</v>
      </c>
      <c r="B82" s="18" t="s">
        <v>425</v>
      </c>
      <c r="C82" s="19" t="s">
        <v>38</v>
      </c>
      <c r="D82" s="19" t="s">
        <v>59</v>
      </c>
      <c r="E82" s="19" t="s">
        <v>60</v>
      </c>
      <c r="F82" s="19" t="s">
        <v>426</v>
      </c>
      <c r="G82" s="19" t="s">
        <v>427</v>
      </c>
      <c r="H82" s="19" t="s">
        <v>428</v>
      </c>
      <c r="I82" s="19" t="s">
        <v>180</v>
      </c>
      <c r="J82" s="19"/>
      <c r="K82" s="19" t="s">
        <v>118</v>
      </c>
      <c r="L82" s="19" t="s">
        <v>45</v>
      </c>
      <c r="M82" s="19" t="s">
        <v>63</v>
      </c>
      <c r="N82" s="28"/>
      <c r="O82" s="21"/>
      <c r="P82" s="20"/>
      <c r="Q82" s="20"/>
      <c r="R82" s="21"/>
      <c r="S82" s="28"/>
      <c r="T82" s="29">
        <f t="shared" si="6"/>
        <v>0</v>
      </c>
      <c r="U82" s="30" t="str">
        <f t="shared" si="7"/>
        <v>Tier 3 — Réserve</v>
      </c>
      <c r="V82" s="19" t="str">
        <f t="shared" si="8"/>
        <v>J+60 — CFP seulement / liste de réserve</v>
      </c>
    </row>
    <row r="83" spans="1:22" ht="52.05" customHeight="1" x14ac:dyDescent="0.3">
      <c r="A83" s="24">
        <v>80</v>
      </c>
      <c r="B83" s="25" t="s">
        <v>429</v>
      </c>
      <c r="C83" s="26" t="s">
        <v>38</v>
      </c>
      <c r="D83" s="26" t="s">
        <v>59</v>
      </c>
      <c r="E83" s="26" t="s">
        <v>60</v>
      </c>
      <c r="F83" s="26" t="s">
        <v>430</v>
      </c>
      <c r="G83" s="26" t="s">
        <v>427</v>
      </c>
      <c r="H83" s="26" t="s">
        <v>431</v>
      </c>
      <c r="I83" s="26" t="s">
        <v>394</v>
      </c>
      <c r="J83" s="26"/>
      <c r="K83" s="26" t="s">
        <v>118</v>
      </c>
      <c r="L83" s="26" t="s">
        <v>45</v>
      </c>
      <c r="M83" s="26" t="s">
        <v>63</v>
      </c>
      <c r="N83" s="28"/>
      <c r="O83" s="21"/>
      <c r="P83" s="20"/>
      <c r="Q83" s="20"/>
      <c r="R83" s="21"/>
      <c r="S83" s="28"/>
      <c r="T83" s="29">
        <f t="shared" si="6"/>
        <v>0</v>
      </c>
      <c r="U83" s="30" t="str">
        <f t="shared" si="7"/>
        <v>Tier 3 — Réserve</v>
      </c>
      <c r="V83" s="26" t="str">
        <f t="shared" si="8"/>
        <v>J+60 — CFP seulement / liste de réserve</v>
      </c>
    </row>
    <row r="84" spans="1:22" ht="52.05" customHeight="1" x14ac:dyDescent="0.3">
      <c r="A84" s="17">
        <v>81</v>
      </c>
      <c r="B84" s="18" t="s">
        <v>432</v>
      </c>
      <c r="C84" s="19" t="s">
        <v>38</v>
      </c>
      <c r="D84" s="19" t="s">
        <v>59</v>
      </c>
      <c r="E84" s="19" t="s">
        <v>60</v>
      </c>
      <c r="F84" s="19" t="s">
        <v>433</v>
      </c>
      <c r="G84" s="19" t="s">
        <v>427</v>
      </c>
      <c r="H84" s="19" t="s">
        <v>434</v>
      </c>
      <c r="I84" s="19" t="s">
        <v>117</v>
      </c>
      <c r="J84" s="19"/>
      <c r="K84" s="19" t="s">
        <v>118</v>
      </c>
      <c r="L84" s="19" t="s">
        <v>45</v>
      </c>
      <c r="M84" s="19" t="s">
        <v>63</v>
      </c>
      <c r="N84" s="28"/>
      <c r="O84" s="21"/>
      <c r="P84" s="20"/>
      <c r="Q84" s="20"/>
      <c r="R84" s="28"/>
      <c r="S84" s="28"/>
      <c r="T84" s="29">
        <f t="shared" si="6"/>
        <v>0</v>
      </c>
      <c r="U84" s="30" t="str">
        <f t="shared" si="7"/>
        <v>Tier 3 — Réserve</v>
      </c>
      <c r="V84" s="19" t="str">
        <f t="shared" si="8"/>
        <v>J+60 — CFP seulement / liste de réserve</v>
      </c>
    </row>
    <row r="85" spans="1:22" ht="52.05" customHeight="1" x14ac:dyDescent="0.3">
      <c r="A85" s="24">
        <v>82</v>
      </c>
      <c r="B85" s="25" t="s">
        <v>435</v>
      </c>
      <c r="C85" s="26" t="s">
        <v>236</v>
      </c>
      <c r="D85" s="26" t="s">
        <v>436</v>
      </c>
      <c r="E85" s="26" t="s">
        <v>437</v>
      </c>
      <c r="F85" s="26"/>
      <c r="G85" s="26" t="s">
        <v>320</v>
      </c>
      <c r="H85" s="26" t="s">
        <v>438</v>
      </c>
      <c r="I85" s="26" t="s">
        <v>322</v>
      </c>
      <c r="J85" s="26"/>
      <c r="K85" s="26" t="s">
        <v>439</v>
      </c>
      <c r="L85" s="26" t="s">
        <v>45</v>
      </c>
      <c r="M85" s="26" t="s">
        <v>46</v>
      </c>
      <c r="N85" s="21"/>
      <c r="O85" s="20"/>
      <c r="P85" s="27"/>
      <c r="Q85" s="28"/>
      <c r="R85" s="20"/>
      <c r="S85" s="21"/>
      <c r="T85" s="29">
        <f t="shared" si="6"/>
        <v>0</v>
      </c>
      <c r="U85" s="30" t="str">
        <f t="shared" si="7"/>
        <v>Tier 3 — Réserve</v>
      </c>
      <c r="V85" s="26" t="str">
        <f t="shared" si="8"/>
        <v>J+60 — CFP seulement / liste de réserve</v>
      </c>
    </row>
    <row r="86" spans="1:22" ht="52.05" customHeight="1" x14ac:dyDescent="0.3">
      <c r="A86" s="17">
        <v>83</v>
      </c>
      <c r="B86" s="18" t="s">
        <v>440</v>
      </c>
      <c r="C86" s="19" t="s">
        <v>257</v>
      </c>
      <c r="D86" s="19" t="s">
        <v>125</v>
      </c>
      <c r="E86" s="19" t="s">
        <v>50</v>
      </c>
      <c r="F86" s="19"/>
      <c r="G86" s="19" t="s">
        <v>107</v>
      </c>
      <c r="H86" s="19" t="s">
        <v>441</v>
      </c>
      <c r="I86" s="19"/>
      <c r="J86" s="19"/>
      <c r="K86" s="19"/>
      <c r="L86" s="19" t="s">
        <v>45</v>
      </c>
      <c r="M86" s="19" t="s">
        <v>93</v>
      </c>
      <c r="N86" s="21"/>
      <c r="O86" s="20"/>
      <c r="P86" s="27"/>
      <c r="Q86" s="28"/>
      <c r="R86" s="21"/>
      <c r="S86" s="21"/>
      <c r="T86" s="29">
        <f t="shared" si="6"/>
        <v>0</v>
      </c>
      <c r="U86" s="30" t="str">
        <f t="shared" si="7"/>
        <v>Tier 3 — Réserve</v>
      </c>
      <c r="V86" s="19" t="str">
        <f t="shared" si="8"/>
        <v>J+60 — CFP seulement / liste de réserve</v>
      </c>
    </row>
    <row r="87" spans="1:22" ht="52.05" customHeight="1" x14ac:dyDescent="0.3">
      <c r="A87" s="24">
        <v>84</v>
      </c>
      <c r="B87" s="25" t="s">
        <v>442</v>
      </c>
      <c r="C87" s="26" t="s">
        <v>38</v>
      </c>
      <c r="D87" s="26" t="s">
        <v>59</v>
      </c>
      <c r="E87" s="26" t="s">
        <v>60</v>
      </c>
      <c r="F87" s="26" t="s">
        <v>443</v>
      </c>
      <c r="G87" s="26" t="s">
        <v>96</v>
      </c>
      <c r="H87" s="26" t="s">
        <v>184</v>
      </c>
      <c r="I87" s="26" t="s">
        <v>117</v>
      </c>
      <c r="J87" s="26"/>
      <c r="K87" s="26" t="s">
        <v>118</v>
      </c>
      <c r="L87" s="26" t="s">
        <v>45</v>
      </c>
      <c r="M87" s="26" t="s">
        <v>63</v>
      </c>
      <c r="N87" s="28"/>
      <c r="O87" s="21"/>
      <c r="P87" s="20"/>
      <c r="Q87" s="20"/>
      <c r="R87" s="21"/>
      <c r="S87" s="28"/>
      <c r="T87" s="29">
        <f t="shared" si="6"/>
        <v>0</v>
      </c>
      <c r="U87" s="30" t="str">
        <f t="shared" si="7"/>
        <v>Tier 3 — Réserve</v>
      </c>
      <c r="V87" s="26" t="str">
        <f t="shared" si="8"/>
        <v>J+60 — CFP seulement / liste de réserve</v>
      </c>
    </row>
    <row r="88" spans="1:22" ht="52.05" customHeight="1" x14ac:dyDescent="0.3">
      <c r="A88" s="17">
        <v>85</v>
      </c>
      <c r="B88" s="18" t="s">
        <v>444</v>
      </c>
      <c r="C88" s="19" t="s">
        <v>445</v>
      </c>
      <c r="D88" s="19" t="s">
        <v>446</v>
      </c>
      <c r="E88" s="19" t="s">
        <v>447</v>
      </c>
      <c r="F88" s="19" t="s">
        <v>448</v>
      </c>
      <c r="G88" s="19" t="s">
        <v>449</v>
      </c>
      <c r="H88" s="19" t="s">
        <v>450</v>
      </c>
      <c r="I88" s="19" t="s">
        <v>180</v>
      </c>
      <c r="J88" s="19"/>
      <c r="K88" s="19" t="s">
        <v>451</v>
      </c>
      <c r="L88" s="19" t="s">
        <v>45</v>
      </c>
      <c r="M88" s="19" t="s">
        <v>63</v>
      </c>
      <c r="N88" s="27"/>
      <c r="O88" s="21"/>
      <c r="P88" s="21"/>
      <c r="Q88" s="20"/>
      <c r="R88" s="21"/>
      <c r="S88" s="28"/>
      <c r="T88" s="29">
        <f t="shared" si="6"/>
        <v>0</v>
      </c>
      <c r="U88" s="30" t="str">
        <f t="shared" si="7"/>
        <v>Tier 3 — Réserve</v>
      </c>
      <c r="V88" s="19" t="str">
        <f t="shared" si="8"/>
        <v>J+60 — CFP seulement / liste de réserve</v>
      </c>
    </row>
    <row r="89" spans="1:22" ht="52.05" customHeight="1" x14ac:dyDescent="0.3">
      <c r="A89" s="24">
        <v>86</v>
      </c>
      <c r="B89" s="25" t="s">
        <v>452</v>
      </c>
      <c r="C89" s="26" t="s">
        <v>236</v>
      </c>
      <c r="D89" s="26" t="s">
        <v>453</v>
      </c>
      <c r="E89" s="26" t="s">
        <v>40</v>
      </c>
      <c r="F89" s="26"/>
      <c r="G89" s="26" t="s">
        <v>67</v>
      </c>
      <c r="H89" s="26" t="s">
        <v>454</v>
      </c>
      <c r="I89" s="26" t="s">
        <v>455</v>
      </c>
      <c r="J89" s="26"/>
      <c r="K89" s="26" t="s">
        <v>456</v>
      </c>
      <c r="L89" s="26" t="s">
        <v>45</v>
      </c>
      <c r="M89" s="26" t="s">
        <v>46</v>
      </c>
      <c r="N89" s="21"/>
      <c r="O89" s="20"/>
      <c r="P89" s="27"/>
      <c r="Q89" s="28"/>
      <c r="R89" s="21"/>
      <c r="S89" s="21"/>
      <c r="T89" s="29">
        <f t="shared" si="6"/>
        <v>0</v>
      </c>
      <c r="U89" s="30" t="str">
        <f t="shared" si="7"/>
        <v>Tier 3 — Réserve</v>
      </c>
      <c r="V89" s="26" t="str">
        <f t="shared" si="8"/>
        <v>J+60 — CFP seulement / liste de réserve</v>
      </c>
    </row>
    <row r="90" spans="1:22" ht="52.05" customHeight="1" x14ac:dyDescent="0.3">
      <c r="A90" s="17">
        <v>87</v>
      </c>
      <c r="B90" s="18" t="s">
        <v>457</v>
      </c>
      <c r="C90" s="19" t="s">
        <v>78</v>
      </c>
      <c r="D90" s="19" t="s">
        <v>458</v>
      </c>
      <c r="E90" s="19" t="s">
        <v>50</v>
      </c>
      <c r="F90" s="19"/>
      <c r="G90" s="19" t="s">
        <v>107</v>
      </c>
      <c r="H90" s="19" t="s">
        <v>459</v>
      </c>
      <c r="I90" s="19" t="s">
        <v>460</v>
      </c>
      <c r="J90" s="19"/>
      <c r="K90" s="19" t="s">
        <v>461</v>
      </c>
      <c r="L90" s="19" t="s">
        <v>45</v>
      </c>
      <c r="M90" s="19" t="s">
        <v>46</v>
      </c>
      <c r="N90" s="21"/>
      <c r="O90" s="20"/>
      <c r="P90" s="27"/>
      <c r="Q90" s="21"/>
      <c r="R90" s="20"/>
      <c r="S90" s="21"/>
      <c r="T90" s="29">
        <f t="shared" si="6"/>
        <v>0</v>
      </c>
      <c r="U90" s="30" t="str">
        <f t="shared" si="7"/>
        <v>Tier 3 — Réserve</v>
      </c>
      <c r="V90" s="19" t="str">
        <f t="shared" si="8"/>
        <v>J+60 — CFP seulement / liste de réserve</v>
      </c>
    </row>
    <row r="91" spans="1:22" ht="52.05" customHeight="1" x14ac:dyDescent="0.3">
      <c r="A91" s="24">
        <v>88</v>
      </c>
      <c r="B91" s="25" t="s">
        <v>462</v>
      </c>
      <c r="C91" s="26" t="s">
        <v>78</v>
      </c>
      <c r="D91" s="26" t="s">
        <v>463</v>
      </c>
      <c r="E91" s="26" t="s">
        <v>464</v>
      </c>
      <c r="F91" s="26"/>
      <c r="G91" s="26" t="s">
        <v>107</v>
      </c>
      <c r="H91" s="26" t="s">
        <v>465</v>
      </c>
      <c r="I91" s="26" t="s">
        <v>103</v>
      </c>
      <c r="J91" s="26"/>
      <c r="K91" s="26" t="s">
        <v>466</v>
      </c>
      <c r="L91" s="26" t="s">
        <v>45</v>
      </c>
      <c r="M91" s="26" t="s">
        <v>46</v>
      </c>
      <c r="N91" s="21"/>
      <c r="O91" s="20"/>
      <c r="P91" s="27"/>
      <c r="Q91" s="28"/>
      <c r="R91" s="21"/>
      <c r="S91" s="21"/>
      <c r="T91" s="29">
        <f t="shared" si="6"/>
        <v>0</v>
      </c>
      <c r="U91" s="30" t="str">
        <f t="shared" si="7"/>
        <v>Tier 3 — Réserve</v>
      </c>
      <c r="V91" s="26" t="str">
        <f t="shared" si="8"/>
        <v>J+60 — CFP seulement / liste de réserve</v>
      </c>
    </row>
    <row r="92" spans="1:22" ht="52.05" customHeight="1" x14ac:dyDescent="0.3">
      <c r="A92" s="17">
        <v>89</v>
      </c>
      <c r="B92" s="18" t="s">
        <v>467</v>
      </c>
      <c r="C92" s="19" t="s">
        <v>38</v>
      </c>
      <c r="D92" s="19" t="s">
        <v>59</v>
      </c>
      <c r="E92" s="19" t="s">
        <v>60</v>
      </c>
      <c r="F92" s="19" t="s">
        <v>468</v>
      </c>
      <c r="G92" s="19" t="s">
        <v>427</v>
      </c>
      <c r="H92" s="19" t="s">
        <v>469</v>
      </c>
      <c r="I92" s="19" t="s">
        <v>180</v>
      </c>
      <c r="J92" s="19"/>
      <c r="K92" s="19" t="s">
        <v>118</v>
      </c>
      <c r="L92" s="19" t="s">
        <v>45</v>
      </c>
      <c r="M92" s="19" t="s">
        <v>63</v>
      </c>
      <c r="N92" s="28"/>
      <c r="O92" s="21"/>
      <c r="P92" s="20"/>
      <c r="Q92" s="20"/>
      <c r="R92" s="28"/>
      <c r="S92" s="28"/>
      <c r="T92" s="29">
        <f t="shared" si="6"/>
        <v>0</v>
      </c>
      <c r="U92" s="30" t="str">
        <f t="shared" si="7"/>
        <v>Tier 3 — Réserve</v>
      </c>
      <c r="V92" s="19" t="str">
        <f t="shared" si="8"/>
        <v>J+60 — CFP seulement / liste de réserve</v>
      </c>
    </row>
    <row r="93" spans="1:22" ht="52.05" customHeight="1" x14ac:dyDescent="0.3">
      <c r="A93" s="24">
        <v>90</v>
      </c>
      <c r="B93" s="25" t="s">
        <v>470</v>
      </c>
      <c r="C93" s="26" t="s">
        <v>38</v>
      </c>
      <c r="D93" s="26" t="s">
        <v>59</v>
      </c>
      <c r="E93" s="26" t="s">
        <v>60</v>
      </c>
      <c r="F93" s="26" t="s">
        <v>471</v>
      </c>
      <c r="G93" s="26" t="s">
        <v>427</v>
      </c>
      <c r="H93" s="26" t="s">
        <v>472</v>
      </c>
      <c r="I93" s="26" t="s">
        <v>117</v>
      </c>
      <c r="J93" s="26"/>
      <c r="K93" s="26" t="s">
        <v>118</v>
      </c>
      <c r="L93" s="26" t="s">
        <v>45</v>
      </c>
      <c r="M93" s="26" t="s">
        <v>63</v>
      </c>
      <c r="N93" s="28"/>
      <c r="O93" s="21"/>
      <c r="P93" s="20"/>
      <c r="Q93" s="20"/>
      <c r="R93" s="28"/>
      <c r="S93" s="28"/>
      <c r="T93" s="29">
        <f t="shared" si="6"/>
        <v>0</v>
      </c>
      <c r="U93" s="30" t="str">
        <f t="shared" si="7"/>
        <v>Tier 3 — Réserve</v>
      </c>
      <c r="V93" s="26" t="str">
        <f t="shared" si="8"/>
        <v>J+60 — CFP seulement / liste de réserve</v>
      </c>
    </row>
    <row r="94" spans="1:22" ht="52.05" customHeight="1" x14ac:dyDescent="0.3">
      <c r="A94" s="17">
        <v>91</v>
      </c>
      <c r="B94" s="18" t="s">
        <v>473</v>
      </c>
      <c r="C94" s="19" t="s">
        <v>155</v>
      </c>
      <c r="D94" s="19" t="s">
        <v>225</v>
      </c>
      <c r="E94" s="19" t="s">
        <v>40</v>
      </c>
      <c r="F94" s="19"/>
      <c r="G94" s="19" t="s">
        <v>474</v>
      </c>
      <c r="H94" s="19" t="s">
        <v>475</v>
      </c>
      <c r="I94" s="19" t="s">
        <v>279</v>
      </c>
      <c r="J94" s="19"/>
      <c r="K94" s="19" t="s">
        <v>476</v>
      </c>
      <c r="L94" s="19" t="s">
        <v>45</v>
      </c>
      <c r="M94" s="19" t="s">
        <v>46</v>
      </c>
      <c r="N94" s="21"/>
      <c r="O94" s="21"/>
      <c r="P94" s="27"/>
      <c r="Q94" s="20"/>
      <c r="R94" s="21"/>
      <c r="S94" s="21"/>
      <c r="T94" s="29">
        <f t="shared" si="6"/>
        <v>0</v>
      </c>
      <c r="U94" s="30" t="str">
        <f t="shared" si="7"/>
        <v>Tier 3 — Réserve</v>
      </c>
      <c r="V94" s="19" t="str">
        <f t="shared" si="8"/>
        <v>J+60 — CFP seulement / liste de réserve</v>
      </c>
    </row>
    <row r="95" spans="1:22" ht="52.05" customHeight="1" x14ac:dyDescent="0.3">
      <c r="A95" s="24">
        <v>92</v>
      </c>
      <c r="B95" s="25" t="s">
        <v>477</v>
      </c>
      <c r="C95" s="26" t="s">
        <v>155</v>
      </c>
      <c r="D95" s="26" t="s">
        <v>478</v>
      </c>
      <c r="E95" s="26" t="s">
        <v>40</v>
      </c>
      <c r="F95" s="26"/>
      <c r="G95" s="26" t="s">
        <v>107</v>
      </c>
      <c r="H95" s="26" t="s">
        <v>479</v>
      </c>
      <c r="I95" s="26" t="s">
        <v>98</v>
      </c>
      <c r="J95" s="26"/>
      <c r="K95" s="26" t="s">
        <v>480</v>
      </c>
      <c r="L95" s="26" t="s">
        <v>45</v>
      </c>
      <c r="M95" s="26" t="s">
        <v>46</v>
      </c>
      <c r="N95" s="21"/>
      <c r="O95" s="20"/>
      <c r="P95" s="27"/>
      <c r="Q95" s="21"/>
      <c r="R95" s="21"/>
      <c r="S95" s="28"/>
      <c r="T95" s="29">
        <f t="shared" si="6"/>
        <v>0</v>
      </c>
      <c r="U95" s="30" t="str">
        <f t="shared" si="7"/>
        <v>Tier 3 — Réserve</v>
      </c>
      <c r="V95" s="26" t="str">
        <f t="shared" si="8"/>
        <v>J+60 — CFP seulement / liste de réserve</v>
      </c>
    </row>
    <row r="96" spans="1:22" ht="52.05" customHeight="1" x14ac:dyDescent="0.3">
      <c r="A96" s="17">
        <v>93</v>
      </c>
      <c r="B96" s="18" t="s">
        <v>481</v>
      </c>
      <c r="C96" s="19" t="s">
        <v>155</v>
      </c>
      <c r="D96" s="19" t="s">
        <v>482</v>
      </c>
      <c r="E96" s="19" t="s">
        <v>40</v>
      </c>
      <c r="F96" s="19"/>
      <c r="G96" s="19" t="s">
        <v>107</v>
      </c>
      <c r="H96" s="19" t="s">
        <v>483</v>
      </c>
      <c r="I96" s="19" t="s">
        <v>98</v>
      </c>
      <c r="J96" s="19"/>
      <c r="K96" s="19" t="s">
        <v>484</v>
      </c>
      <c r="L96" s="19" t="s">
        <v>45</v>
      </c>
      <c r="M96" s="19" t="s">
        <v>46</v>
      </c>
      <c r="N96" s="21"/>
      <c r="O96" s="20"/>
      <c r="P96" s="27"/>
      <c r="Q96" s="21"/>
      <c r="R96" s="21"/>
      <c r="S96" s="28"/>
      <c r="T96" s="29">
        <f t="shared" si="6"/>
        <v>0</v>
      </c>
      <c r="U96" s="30" t="str">
        <f t="shared" si="7"/>
        <v>Tier 3 — Réserve</v>
      </c>
      <c r="V96" s="19" t="str">
        <f t="shared" si="8"/>
        <v>J+60 — CFP seulement / liste de réserve</v>
      </c>
    </row>
    <row r="97" spans="1:22" ht="52.05" customHeight="1" x14ac:dyDescent="0.3">
      <c r="A97" s="24">
        <v>94</v>
      </c>
      <c r="B97" s="25" t="s">
        <v>485</v>
      </c>
      <c r="C97" s="26" t="s">
        <v>236</v>
      </c>
      <c r="D97" s="26" t="s">
        <v>486</v>
      </c>
      <c r="E97" s="26" t="s">
        <v>487</v>
      </c>
      <c r="F97" s="26"/>
      <c r="G97" s="26" t="s">
        <v>107</v>
      </c>
      <c r="H97" s="26" t="s">
        <v>488</v>
      </c>
      <c r="I97" s="26" t="s">
        <v>489</v>
      </c>
      <c r="J97" s="26"/>
      <c r="K97" s="26" t="s">
        <v>490</v>
      </c>
      <c r="L97" s="26" t="s">
        <v>45</v>
      </c>
      <c r="M97" s="26" t="s">
        <v>46</v>
      </c>
      <c r="N97" s="21"/>
      <c r="O97" s="20"/>
      <c r="P97" s="27"/>
      <c r="Q97" s="28"/>
      <c r="R97" s="21"/>
      <c r="S97" s="21"/>
      <c r="T97" s="29">
        <f t="shared" si="6"/>
        <v>0</v>
      </c>
      <c r="U97" s="30" t="str">
        <f t="shared" si="7"/>
        <v>Tier 3 — Réserve</v>
      </c>
      <c r="V97" s="26" t="str">
        <f t="shared" si="8"/>
        <v>J+60 — CFP seulement / liste de réserve</v>
      </c>
    </row>
    <row r="98" spans="1:22" ht="52.05" customHeight="1" x14ac:dyDescent="0.3">
      <c r="A98" s="17">
        <v>95</v>
      </c>
      <c r="B98" s="18" t="s">
        <v>491</v>
      </c>
      <c r="C98" s="19" t="s">
        <v>250</v>
      </c>
      <c r="D98" s="19" t="s">
        <v>492</v>
      </c>
      <c r="E98" s="19" t="s">
        <v>157</v>
      </c>
      <c r="F98" s="19"/>
      <c r="G98" s="19" t="s">
        <v>96</v>
      </c>
      <c r="H98" s="19" t="s">
        <v>493</v>
      </c>
      <c r="I98" s="19" t="s">
        <v>494</v>
      </c>
      <c r="J98" s="19"/>
      <c r="K98" s="19" t="s">
        <v>495</v>
      </c>
      <c r="L98" s="19" t="s">
        <v>45</v>
      </c>
      <c r="M98" s="19" t="s">
        <v>46</v>
      </c>
      <c r="N98" s="21"/>
      <c r="O98" s="20"/>
      <c r="P98" s="27"/>
      <c r="Q98" s="28"/>
      <c r="R98" s="21"/>
      <c r="S98" s="21"/>
      <c r="T98" s="29">
        <f t="shared" si="6"/>
        <v>0</v>
      </c>
      <c r="U98" s="30" t="str">
        <f t="shared" si="7"/>
        <v>Tier 3 — Réserve</v>
      </c>
      <c r="V98" s="19" t="str">
        <f t="shared" si="8"/>
        <v>J+60 — CFP seulement / liste de réserve</v>
      </c>
    </row>
    <row r="99" spans="1:22" ht="52.05" customHeight="1" x14ac:dyDescent="0.3">
      <c r="A99" s="24">
        <v>96</v>
      </c>
      <c r="B99" s="25" t="s">
        <v>496</v>
      </c>
      <c r="C99" s="26" t="s">
        <v>208</v>
      </c>
      <c r="D99" s="26" t="s">
        <v>497</v>
      </c>
      <c r="E99" s="26" t="s">
        <v>498</v>
      </c>
      <c r="F99" s="26"/>
      <c r="G99" s="26" t="s">
        <v>41</v>
      </c>
      <c r="H99" s="26" t="s">
        <v>499</v>
      </c>
      <c r="I99" s="26" t="s">
        <v>500</v>
      </c>
      <c r="J99" s="26"/>
      <c r="K99" s="26" t="s">
        <v>501</v>
      </c>
      <c r="L99" s="26" t="s">
        <v>45</v>
      </c>
      <c r="M99" s="26" t="s">
        <v>46</v>
      </c>
      <c r="N99" s="21"/>
      <c r="O99" s="21"/>
      <c r="P99" s="27"/>
      <c r="Q99" s="21"/>
      <c r="R99" s="21"/>
      <c r="S99" s="21"/>
      <c r="T99" s="29">
        <f t="shared" si="6"/>
        <v>0</v>
      </c>
      <c r="U99" s="30" t="str">
        <f t="shared" si="7"/>
        <v>Tier 3 — Réserve</v>
      </c>
      <c r="V99" s="26" t="str">
        <f t="shared" si="8"/>
        <v>J+60 — CFP seulement / liste de réserve</v>
      </c>
    </row>
    <row r="100" spans="1:22" ht="52.05" customHeight="1" x14ac:dyDescent="0.3">
      <c r="A100" s="17">
        <v>97</v>
      </c>
      <c r="B100" s="18" t="s">
        <v>502</v>
      </c>
      <c r="C100" s="19" t="s">
        <v>38</v>
      </c>
      <c r="D100" s="19" t="s">
        <v>59</v>
      </c>
      <c r="E100" s="19" t="s">
        <v>60</v>
      </c>
      <c r="F100" s="19" t="s">
        <v>503</v>
      </c>
      <c r="G100" s="19" t="s">
        <v>427</v>
      </c>
      <c r="H100" s="19" t="s">
        <v>504</v>
      </c>
      <c r="I100" s="19" t="s">
        <v>117</v>
      </c>
      <c r="J100" s="19"/>
      <c r="K100" s="19" t="s">
        <v>118</v>
      </c>
      <c r="L100" s="19" t="s">
        <v>45</v>
      </c>
      <c r="M100" s="19" t="s">
        <v>63</v>
      </c>
      <c r="N100" s="28"/>
      <c r="O100" s="28"/>
      <c r="P100" s="20"/>
      <c r="Q100" s="21"/>
      <c r="R100" s="28"/>
      <c r="S100" s="28"/>
      <c r="T100" s="29">
        <f t="shared" ref="T100:T131" si="9">ROUND((N100*0.25+O100*0.2+P100*0.2+Q100*0.15+R100*0.1+S100*0.1),0)</f>
        <v>0</v>
      </c>
      <c r="U100" s="30" t="str">
        <f t="shared" ref="U100:U131" si="10">IF(T100&gt;=75,"Tier 1 — Prioritaire",IF(T100&gt;=50,"Tier 2 — À cultiver","Tier 3 — Réserve"))</f>
        <v>Tier 3 — Réserve</v>
      </c>
      <c r="V100" s="19" t="str">
        <f t="shared" ref="V100:V115" si="11">IF(T100&gt;=75,"J+0 à J+14 — Contact direct personnalisé",IF(T100&gt;=50,"J+30 — Approche CFP ou réseau commun","J+60 — CFP seulement / liste de réserve"))</f>
        <v>J+60 — CFP seulement / liste de réserve</v>
      </c>
    </row>
    <row r="101" spans="1:22" ht="52.05" customHeight="1" x14ac:dyDescent="0.3">
      <c r="A101" s="24">
        <v>98</v>
      </c>
      <c r="B101" s="25" t="s">
        <v>505</v>
      </c>
      <c r="C101" s="26" t="s">
        <v>78</v>
      </c>
      <c r="D101" s="26" t="s">
        <v>506</v>
      </c>
      <c r="E101" s="26" t="s">
        <v>507</v>
      </c>
      <c r="F101" s="26"/>
      <c r="G101" s="26" t="s">
        <v>277</v>
      </c>
      <c r="H101" s="26" t="s">
        <v>508</v>
      </c>
      <c r="I101" s="26" t="s">
        <v>98</v>
      </c>
      <c r="J101" s="26"/>
      <c r="K101" s="26" t="s">
        <v>466</v>
      </c>
      <c r="L101" s="26" t="s">
        <v>45</v>
      </c>
      <c r="M101" s="26" t="s">
        <v>46</v>
      </c>
      <c r="N101" s="21"/>
      <c r="O101" s="21"/>
      <c r="P101" s="27"/>
      <c r="Q101" s="21"/>
      <c r="R101" s="21"/>
      <c r="S101" s="28"/>
      <c r="T101" s="29">
        <f t="shared" si="9"/>
        <v>0</v>
      </c>
      <c r="U101" s="30" t="str">
        <f t="shared" si="10"/>
        <v>Tier 3 — Réserve</v>
      </c>
      <c r="V101" s="26" t="str">
        <f t="shared" si="11"/>
        <v>J+60 — CFP seulement / liste de réserve</v>
      </c>
    </row>
    <row r="102" spans="1:22" ht="52.05" customHeight="1" x14ac:dyDescent="0.3">
      <c r="A102" s="17">
        <v>99</v>
      </c>
      <c r="B102" s="18" t="s">
        <v>509</v>
      </c>
      <c r="C102" s="19" t="s">
        <v>510</v>
      </c>
      <c r="D102" s="19" t="s">
        <v>511</v>
      </c>
      <c r="E102" s="19" t="s">
        <v>50</v>
      </c>
      <c r="F102" s="19"/>
      <c r="G102" s="19" t="s">
        <v>219</v>
      </c>
      <c r="H102" s="19" t="s">
        <v>512</v>
      </c>
      <c r="I102" s="19" t="s">
        <v>513</v>
      </c>
      <c r="J102" s="19"/>
      <c r="K102" s="19" t="s">
        <v>514</v>
      </c>
      <c r="L102" s="19" t="s">
        <v>45</v>
      </c>
      <c r="M102" s="19" t="s">
        <v>46</v>
      </c>
      <c r="N102" s="20"/>
      <c r="O102" s="21"/>
      <c r="P102" s="27"/>
      <c r="Q102" s="27"/>
      <c r="R102" s="21"/>
      <c r="S102" s="20"/>
      <c r="T102" s="29">
        <f t="shared" si="9"/>
        <v>0</v>
      </c>
      <c r="U102" s="30" t="str">
        <f t="shared" si="10"/>
        <v>Tier 3 — Réserve</v>
      </c>
      <c r="V102" s="19" t="str">
        <f t="shared" si="11"/>
        <v>J+60 — CFP seulement / liste de réserve</v>
      </c>
    </row>
    <row r="103" spans="1:22" ht="52.05" customHeight="1" x14ac:dyDescent="0.3">
      <c r="A103" s="24">
        <v>100</v>
      </c>
      <c r="B103" s="25" t="s">
        <v>515</v>
      </c>
      <c r="C103" s="26" t="s">
        <v>155</v>
      </c>
      <c r="D103" s="26" t="s">
        <v>516</v>
      </c>
      <c r="E103" s="26" t="s">
        <v>40</v>
      </c>
      <c r="F103" s="26"/>
      <c r="G103" s="26" t="s">
        <v>41</v>
      </c>
      <c r="H103" s="26" t="s">
        <v>517</v>
      </c>
      <c r="I103" s="26" t="s">
        <v>394</v>
      </c>
      <c r="J103" s="26"/>
      <c r="K103" s="26" t="s">
        <v>518</v>
      </c>
      <c r="L103" s="26" t="s">
        <v>45</v>
      </c>
      <c r="M103" s="26" t="s">
        <v>46</v>
      </c>
      <c r="N103" s="21"/>
      <c r="O103" s="20"/>
      <c r="P103" s="27"/>
      <c r="Q103" s="21"/>
      <c r="R103" s="21"/>
      <c r="S103" s="28"/>
      <c r="T103" s="29">
        <f t="shared" si="9"/>
        <v>0</v>
      </c>
      <c r="U103" s="30" t="str">
        <f t="shared" si="10"/>
        <v>Tier 3 — Réserve</v>
      </c>
      <c r="V103" s="26" t="str">
        <f t="shared" si="11"/>
        <v>J+60 — CFP seulement / liste de réserve</v>
      </c>
    </row>
    <row r="104" spans="1:22" ht="52.05" customHeight="1" x14ac:dyDescent="0.3">
      <c r="A104" s="17">
        <v>101</v>
      </c>
      <c r="B104" s="18" t="s">
        <v>519</v>
      </c>
      <c r="C104" s="19" t="s">
        <v>236</v>
      </c>
      <c r="D104" s="19" t="s">
        <v>520</v>
      </c>
      <c r="E104" s="19" t="s">
        <v>521</v>
      </c>
      <c r="F104" s="19"/>
      <c r="G104" s="19" t="s">
        <v>41</v>
      </c>
      <c r="H104" s="19" t="s">
        <v>522</v>
      </c>
      <c r="I104" s="19" t="s">
        <v>394</v>
      </c>
      <c r="J104" s="19"/>
      <c r="K104" s="19" t="s">
        <v>523</v>
      </c>
      <c r="L104" s="19" t="s">
        <v>45</v>
      </c>
      <c r="M104" s="19" t="s">
        <v>46</v>
      </c>
      <c r="N104" s="21"/>
      <c r="O104" s="20"/>
      <c r="P104" s="27"/>
      <c r="Q104" s="28"/>
      <c r="R104" s="21"/>
      <c r="S104" s="28"/>
      <c r="T104" s="29">
        <f t="shared" si="9"/>
        <v>0</v>
      </c>
      <c r="U104" s="30" t="str">
        <f t="shared" si="10"/>
        <v>Tier 3 — Réserve</v>
      </c>
      <c r="V104" s="19" t="str">
        <f t="shared" si="11"/>
        <v>J+60 — CFP seulement / liste de réserve</v>
      </c>
    </row>
    <row r="105" spans="1:22" ht="52.05" customHeight="1" x14ac:dyDescent="0.3">
      <c r="A105" s="24">
        <v>102</v>
      </c>
      <c r="B105" s="25" t="s">
        <v>524</v>
      </c>
      <c r="C105" s="26" t="s">
        <v>236</v>
      </c>
      <c r="D105" s="26" t="s">
        <v>525</v>
      </c>
      <c r="E105" s="26" t="s">
        <v>526</v>
      </c>
      <c r="F105" s="26"/>
      <c r="G105" s="26" t="s">
        <v>107</v>
      </c>
      <c r="H105" s="26" t="s">
        <v>527</v>
      </c>
      <c r="I105" s="26" t="s">
        <v>127</v>
      </c>
      <c r="J105" s="26"/>
      <c r="K105" s="26" t="s">
        <v>466</v>
      </c>
      <c r="L105" s="26" t="s">
        <v>45</v>
      </c>
      <c r="M105" s="26" t="s">
        <v>46</v>
      </c>
      <c r="N105" s="21"/>
      <c r="O105" s="20"/>
      <c r="P105" s="27"/>
      <c r="Q105" s="28"/>
      <c r="R105" s="21"/>
      <c r="S105" s="21"/>
      <c r="T105" s="29">
        <f t="shared" si="9"/>
        <v>0</v>
      </c>
      <c r="U105" s="30" t="str">
        <f t="shared" si="10"/>
        <v>Tier 3 — Réserve</v>
      </c>
      <c r="V105" s="26" t="str">
        <f t="shared" si="11"/>
        <v>J+60 — CFP seulement / liste de réserve</v>
      </c>
    </row>
    <row r="106" spans="1:22" ht="52.05" customHeight="1" x14ac:dyDescent="0.3">
      <c r="A106" s="17">
        <v>103</v>
      </c>
      <c r="B106" s="18" t="s">
        <v>528</v>
      </c>
      <c r="C106" s="19" t="s">
        <v>155</v>
      </c>
      <c r="D106" s="19" t="s">
        <v>529</v>
      </c>
      <c r="E106" s="19" t="s">
        <v>50</v>
      </c>
      <c r="F106" s="19"/>
      <c r="G106" s="19" t="s">
        <v>107</v>
      </c>
      <c r="H106" s="19" t="s">
        <v>530</v>
      </c>
      <c r="I106" s="19" t="s">
        <v>394</v>
      </c>
      <c r="J106" s="19"/>
      <c r="K106" s="19" t="s">
        <v>531</v>
      </c>
      <c r="L106" s="19" t="s">
        <v>45</v>
      </c>
      <c r="M106" s="19" t="s">
        <v>46</v>
      </c>
      <c r="N106" s="21"/>
      <c r="O106" s="20"/>
      <c r="P106" s="27"/>
      <c r="Q106" s="21"/>
      <c r="R106" s="20"/>
      <c r="S106" s="28"/>
      <c r="T106" s="29">
        <f t="shared" si="9"/>
        <v>0</v>
      </c>
      <c r="U106" s="30" t="str">
        <f t="shared" si="10"/>
        <v>Tier 3 — Réserve</v>
      </c>
      <c r="V106" s="19" t="str">
        <f t="shared" si="11"/>
        <v>J+60 — CFP seulement / liste de réserve</v>
      </c>
    </row>
    <row r="107" spans="1:22" ht="52.05" customHeight="1" x14ac:dyDescent="0.3">
      <c r="A107" s="24">
        <v>104</v>
      </c>
      <c r="B107" s="25" t="s">
        <v>532</v>
      </c>
      <c r="C107" s="26" t="s">
        <v>236</v>
      </c>
      <c r="D107" s="26" t="s">
        <v>533</v>
      </c>
      <c r="E107" s="26" t="s">
        <v>50</v>
      </c>
      <c r="F107" s="26"/>
      <c r="G107" s="26" t="s">
        <v>41</v>
      </c>
      <c r="H107" s="26" t="s">
        <v>534</v>
      </c>
      <c r="I107" s="26" t="s">
        <v>535</v>
      </c>
      <c r="J107" s="26"/>
      <c r="K107" s="26" t="s">
        <v>536</v>
      </c>
      <c r="L107" s="26" t="s">
        <v>45</v>
      </c>
      <c r="M107" s="26" t="s">
        <v>46</v>
      </c>
      <c r="N107" s="21"/>
      <c r="O107" s="20"/>
      <c r="P107" s="27"/>
      <c r="Q107" s="28"/>
      <c r="R107" s="21"/>
      <c r="S107" s="21"/>
      <c r="T107" s="29">
        <f t="shared" si="9"/>
        <v>0</v>
      </c>
      <c r="U107" s="30" t="str">
        <f t="shared" si="10"/>
        <v>Tier 3 — Réserve</v>
      </c>
      <c r="V107" s="26" t="str">
        <f t="shared" si="11"/>
        <v>J+60 — CFP seulement / liste de réserve</v>
      </c>
    </row>
    <row r="108" spans="1:22" ht="52.05" customHeight="1" x14ac:dyDescent="0.3">
      <c r="A108" s="17">
        <v>105</v>
      </c>
      <c r="B108" s="18" t="s">
        <v>537</v>
      </c>
      <c r="C108" s="19" t="s">
        <v>510</v>
      </c>
      <c r="D108" s="19" t="s">
        <v>538</v>
      </c>
      <c r="E108" s="19" t="s">
        <v>539</v>
      </c>
      <c r="F108" s="19" t="s">
        <v>540</v>
      </c>
      <c r="G108" s="19" t="s">
        <v>96</v>
      </c>
      <c r="H108" s="19" t="s">
        <v>541</v>
      </c>
      <c r="I108" s="19" t="s">
        <v>150</v>
      </c>
      <c r="J108" s="19" t="s">
        <v>542</v>
      </c>
      <c r="K108" s="19" t="s">
        <v>543</v>
      </c>
      <c r="L108" s="19" t="s">
        <v>45</v>
      </c>
      <c r="M108" s="19" t="s">
        <v>93</v>
      </c>
      <c r="N108" s="21"/>
      <c r="O108" s="21"/>
      <c r="P108" s="27"/>
      <c r="Q108" s="28"/>
      <c r="R108" s="21"/>
      <c r="S108" s="28"/>
      <c r="T108" s="29">
        <f t="shared" si="9"/>
        <v>0</v>
      </c>
      <c r="U108" s="30" t="str">
        <f t="shared" si="10"/>
        <v>Tier 3 — Réserve</v>
      </c>
      <c r="V108" s="19" t="str">
        <f t="shared" si="11"/>
        <v>J+60 — CFP seulement / liste de réserve</v>
      </c>
    </row>
    <row r="109" spans="1:22" ht="52.05" customHeight="1" x14ac:dyDescent="0.3">
      <c r="A109" s="24">
        <v>106</v>
      </c>
      <c r="B109" s="25" t="s">
        <v>544</v>
      </c>
      <c r="C109" s="26" t="s">
        <v>208</v>
      </c>
      <c r="D109" s="26" t="s">
        <v>410</v>
      </c>
      <c r="E109" s="26" t="s">
        <v>411</v>
      </c>
      <c r="F109" s="26" t="s">
        <v>545</v>
      </c>
      <c r="G109" s="26" t="s">
        <v>96</v>
      </c>
      <c r="H109" s="26" t="s">
        <v>546</v>
      </c>
      <c r="I109" s="26" t="s">
        <v>394</v>
      </c>
      <c r="J109" s="26"/>
      <c r="K109" s="26" t="s">
        <v>118</v>
      </c>
      <c r="L109" s="26" t="s">
        <v>45</v>
      </c>
      <c r="M109" s="26" t="s">
        <v>63</v>
      </c>
      <c r="N109" s="21"/>
      <c r="O109" s="21"/>
      <c r="P109" s="27"/>
      <c r="Q109" s="21"/>
      <c r="R109" s="21"/>
      <c r="S109" s="28"/>
      <c r="T109" s="29">
        <f t="shared" si="9"/>
        <v>0</v>
      </c>
      <c r="U109" s="30" t="str">
        <f t="shared" si="10"/>
        <v>Tier 3 — Réserve</v>
      </c>
      <c r="V109" s="26" t="str">
        <f t="shared" si="11"/>
        <v>J+60 — CFP seulement / liste de réserve</v>
      </c>
    </row>
    <row r="110" spans="1:22" ht="52.05" customHeight="1" x14ac:dyDescent="0.3">
      <c r="A110" s="17">
        <v>107</v>
      </c>
      <c r="B110" s="18" t="s">
        <v>547</v>
      </c>
      <c r="C110" s="19" t="s">
        <v>155</v>
      </c>
      <c r="D110" s="19" t="s">
        <v>548</v>
      </c>
      <c r="E110" s="19" t="s">
        <v>50</v>
      </c>
      <c r="F110" s="19"/>
      <c r="G110" s="19" t="s">
        <v>107</v>
      </c>
      <c r="H110" s="19" t="s">
        <v>549</v>
      </c>
      <c r="I110" s="19" t="s">
        <v>394</v>
      </c>
      <c r="J110" s="19"/>
      <c r="K110" s="19" t="s">
        <v>550</v>
      </c>
      <c r="L110" s="19" t="s">
        <v>45</v>
      </c>
      <c r="M110" s="19" t="s">
        <v>46</v>
      </c>
      <c r="N110" s="21"/>
      <c r="O110" s="20"/>
      <c r="P110" s="27"/>
      <c r="Q110" s="21"/>
      <c r="R110" s="21"/>
      <c r="S110" s="27"/>
      <c r="T110" s="29">
        <f t="shared" si="9"/>
        <v>0</v>
      </c>
      <c r="U110" s="30" t="str">
        <f t="shared" si="10"/>
        <v>Tier 3 — Réserve</v>
      </c>
      <c r="V110" s="19" t="str">
        <f t="shared" si="11"/>
        <v>J+60 — CFP seulement / liste de réserve</v>
      </c>
    </row>
    <row r="111" spans="1:22" ht="52.05" customHeight="1" x14ac:dyDescent="0.3">
      <c r="A111" s="24">
        <v>108</v>
      </c>
      <c r="B111" s="25" t="s">
        <v>551</v>
      </c>
      <c r="C111" s="26" t="s">
        <v>155</v>
      </c>
      <c r="D111" s="26" t="s">
        <v>552</v>
      </c>
      <c r="E111" s="26" t="s">
        <v>50</v>
      </c>
      <c r="F111" s="26"/>
      <c r="G111" s="26" t="s">
        <v>107</v>
      </c>
      <c r="H111" s="26" t="s">
        <v>553</v>
      </c>
      <c r="I111" s="26" t="s">
        <v>394</v>
      </c>
      <c r="J111" s="26"/>
      <c r="K111" s="26" t="s">
        <v>554</v>
      </c>
      <c r="L111" s="26" t="s">
        <v>45</v>
      </c>
      <c r="M111" s="26" t="s">
        <v>46</v>
      </c>
      <c r="N111" s="28"/>
      <c r="O111" s="21"/>
      <c r="P111" s="27"/>
      <c r="Q111" s="28"/>
      <c r="R111" s="21"/>
      <c r="S111" s="27"/>
      <c r="T111" s="29">
        <f t="shared" si="9"/>
        <v>0</v>
      </c>
      <c r="U111" s="30" t="str">
        <f t="shared" si="10"/>
        <v>Tier 3 — Réserve</v>
      </c>
      <c r="V111" s="26" t="str">
        <f t="shared" si="11"/>
        <v>J+60 — CFP seulement / liste de réserve</v>
      </c>
    </row>
    <row r="112" spans="1:22" ht="52.05" customHeight="1" x14ac:dyDescent="0.3">
      <c r="A112" s="17">
        <v>109</v>
      </c>
      <c r="B112" s="18" t="s">
        <v>555</v>
      </c>
      <c r="C112" s="19" t="s">
        <v>78</v>
      </c>
      <c r="D112" s="19" t="s">
        <v>556</v>
      </c>
      <c r="E112" s="19" t="s">
        <v>50</v>
      </c>
      <c r="F112" s="19"/>
      <c r="G112" s="19" t="s">
        <v>96</v>
      </c>
      <c r="H112" s="19" t="s">
        <v>557</v>
      </c>
      <c r="I112" s="19" t="s">
        <v>394</v>
      </c>
      <c r="J112" s="19"/>
      <c r="K112" s="19" t="s">
        <v>558</v>
      </c>
      <c r="L112" s="19" t="s">
        <v>45</v>
      </c>
      <c r="M112" s="19" t="s">
        <v>46</v>
      </c>
      <c r="N112" s="21"/>
      <c r="O112" s="21"/>
      <c r="P112" s="27"/>
      <c r="Q112" s="28"/>
      <c r="R112" s="21"/>
      <c r="S112" s="28"/>
      <c r="T112" s="29">
        <f t="shared" si="9"/>
        <v>0</v>
      </c>
      <c r="U112" s="30" t="str">
        <f t="shared" si="10"/>
        <v>Tier 3 — Réserve</v>
      </c>
      <c r="V112" s="19" t="str">
        <f t="shared" si="11"/>
        <v>J+60 — CFP seulement / liste de réserve</v>
      </c>
    </row>
    <row r="113" spans="1:22" ht="52.05" customHeight="1" x14ac:dyDescent="0.3">
      <c r="A113" s="24">
        <v>110</v>
      </c>
      <c r="B113" s="25" t="s">
        <v>559</v>
      </c>
      <c r="C113" s="26" t="s">
        <v>236</v>
      </c>
      <c r="D113" s="26" t="s">
        <v>520</v>
      </c>
      <c r="E113" s="26" t="s">
        <v>521</v>
      </c>
      <c r="F113" s="26"/>
      <c r="G113" s="26" t="s">
        <v>320</v>
      </c>
      <c r="H113" s="26" t="s">
        <v>560</v>
      </c>
      <c r="I113" s="26" t="s">
        <v>394</v>
      </c>
      <c r="J113" s="26"/>
      <c r="K113" s="26" t="s">
        <v>561</v>
      </c>
      <c r="L113" s="26" t="s">
        <v>45</v>
      </c>
      <c r="M113" s="26" t="s">
        <v>46</v>
      </c>
      <c r="N113" s="21"/>
      <c r="O113" s="21"/>
      <c r="P113" s="27"/>
      <c r="Q113" s="28"/>
      <c r="R113" s="21"/>
      <c r="S113" s="28"/>
      <c r="T113" s="29">
        <f t="shared" si="9"/>
        <v>0</v>
      </c>
      <c r="U113" s="30" t="str">
        <f t="shared" si="10"/>
        <v>Tier 3 — Réserve</v>
      </c>
      <c r="V113" s="26" t="str">
        <f t="shared" si="11"/>
        <v>J+60 — CFP seulement / liste de réserve</v>
      </c>
    </row>
    <row r="114" spans="1:22" ht="52.05" customHeight="1" x14ac:dyDescent="0.3">
      <c r="A114" s="17">
        <v>111</v>
      </c>
      <c r="B114" s="18" t="s">
        <v>562</v>
      </c>
      <c r="C114" s="19" t="s">
        <v>155</v>
      </c>
      <c r="D114" s="19" t="s">
        <v>155</v>
      </c>
      <c r="E114" s="19" t="s">
        <v>50</v>
      </c>
      <c r="F114" s="19"/>
      <c r="G114" s="19" t="s">
        <v>107</v>
      </c>
      <c r="H114" s="19" t="s">
        <v>563</v>
      </c>
      <c r="I114" s="19" t="s">
        <v>394</v>
      </c>
      <c r="J114" s="19"/>
      <c r="K114" s="19" t="s">
        <v>564</v>
      </c>
      <c r="L114" s="19" t="s">
        <v>45</v>
      </c>
      <c r="M114" s="19" t="s">
        <v>46</v>
      </c>
      <c r="N114" s="28"/>
      <c r="O114" s="21"/>
      <c r="P114" s="27"/>
      <c r="Q114" s="28"/>
      <c r="R114" s="21"/>
      <c r="S114" s="27"/>
      <c r="T114" s="29">
        <f t="shared" si="9"/>
        <v>0</v>
      </c>
      <c r="U114" s="30" t="str">
        <f t="shared" si="10"/>
        <v>Tier 3 — Réserve</v>
      </c>
      <c r="V114" s="19" t="str">
        <f t="shared" si="11"/>
        <v>J+60 — CFP seulement / liste de réserve</v>
      </c>
    </row>
    <row r="115" spans="1:22" ht="52.05" customHeight="1" x14ac:dyDescent="0.3">
      <c r="A115" s="24">
        <v>112</v>
      </c>
      <c r="B115" s="25" t="s">
        <v>565</v>
      </c>
      <c r="C115" s="26" t="s">
        <v>78</v>
      </c>
      <c r="D115" s="26" t="s">
        <v>566</v>
      </c>
      <c r="E115" s="26" t="s">
        <v>567</v>
      </c>
      <c r="F115" s="26"/>
      <c r="G115" s="26" t="s">
        <v>96</v>
      </c>
      <c r="H115" s="26" t="s">
        <v>568</v>
      </c>
      <c r="I115" s="26" t="s">
        <v>394</v>
      </c>
      <c r="J115" s="26"/>
      <c r="K115" s="26" t="s">
        <v>569</v>
      </c>
      <c r="L115" s="26" t="s">
        <v>45</v>
      </c>
      <c r="M115" s="26" t="s">
        <v>46</v>
      </c>
      <c r="N115" s="28"/>
      <c r="O115" s="21"/>
      <c r="P115" s="27"/>
      <c r="Q115" s="28"/>
      <c r="R115" s="21"/>
      <c r="S115" s="28"/>
      <c r="T115" s="31">
        <f t="shared" si="9"/>
        <v>0</v>
      </c>
      <c r="U115" s="32" t="str">
        <f t="shared" si="10"/>
        <v>Tier 3 — Réserve</v>
      </c>
      <c r="V115" s="26" t="str">
        <f t="shared" si="11"/>
        <v>J+60 — CFP seulement / liste de réserve</v>
      </c>
    </row>
  </sheetData>
  <autoFilter ref="A2:V115" xr:uid="{00000000-0009-0000-0000-000000000000}"/>
  <mergeCells count="3">
    <mergeCell ref="T1:V1"/>
    <mergeCell ref="A1:D1"/>
    <mergeCell ref="E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5"/>
  <sheetViews>
    <sheetView topLeftCell="A17" workbookViewId="0">
      <selection activeCell="A23" sqref="A23"/>
    </sheetView>
  </sheetViews>
  <sheetFormatPr baseColWidth="10" defaultColWidth="8.88671875" defaultRowHeight="14.4" x14ac:dyDescent="0.3"/>
  <cols>
    <col min="1" max="1" width="36.21875" customWidth="1"/>
    <col min="2" max="2" width="55" customWidth="1"/>
    <col min="3" max="3" width="20" customWidth="1"/>
  </cols>
  <sheetData>
    <row r="1" spans="1:3" ht="18" customHeight="1" x14ac:dyDescent="0.3">
      <c r="A1" s="33" t="s">
        <v>570</v>
      </c>
      <c r="B1" s="33" t="s">
        <v>571</v>
      </c>
      <c r="C1" s="33" t="s">
        <v>572</v>
      </c>
    </row>
    <row r="2" spans="1:3" ht="18" customHeight="1" x14ac:dyDescent="0.3">
      <c r="A2" s="34"/>
      <c r="B2" s="34"/>
      <c r="C2" s="34"/>
    </row>
    <row r="3" spans="1:3" ht="18" customHeight="1" x14ac:dyDescent="0.3">
      <c r="A3" s="35" t="s">
        <v>573</v>
      </c>
      <c r="B3" s="35"/>
      <c r="C3" s="35"/>
    </row>
    <row r="4" spans="1:3" ht="18" customHeight="1" x14ac:dyDescent="0.3">
      <c r="A4" s="34"/>
      <c r="B4" s="34" t="s">
        <v>574</v>
      </c>
      <c r="C4" s="36" t="s">
        <v>575</v>
      </c>
    </row>
    <row r="5" spans="1:3" ht="18" customHeight="1" x14ac:dyDescent="0.3">
      <c r="A5" s="34"/>
      <c r="B5" s="34" t="s">
        <v>576</v>
      </c>
      <c r="C5" s="37" t="s">
        <v>577</v>
      </c>
    </row>
    <row r="6" spans="1:3" ht="18" customHeight="1" x14ac:dyDescent="0.3">
      <c r="A6" s="34"/>
      <c r="B6" s="34" t="s">
        <v>578</v>
      </c>
      <c r="C6" s="37" t="s">
        <v>579</v>
      </c>
    </row>
    <row r="7" spans="1:3" ht="18" customHeight="1" x14ac:dyDescent="0.3">
      <c r="A7" s="34"/>
      <c r="B7" s="34" t="s">
        <v>580</v>
      </c>
      <c r="C7" s="38" t="s">
        <v>581</v>
      </c>
    </row>
    <row r="8" spans="1:3" ht="18" customHeight="1" x14ac:dyDescent="0.3">
      <c r="A8" s="34"/>
      <c r="B8" s="34" t="s">
        <v>582</v>
      </c>
      <c r="C8" s="38" t="s">
        <v>583</v>
      </c>
    </row>
    <row r="9" spans="1:3" ht="18" customHeight="1" x14ac:dyDescent="0.3">
      <c r="A9" s="34"/>
      <c r="B9" s="34"/>
      <c r="C9" s="34"/>
    </row>
    <row r="10" spans="1:3" ht="18" customHeight="1" x14ac:dyDescent="0.3">
      <c r="A10" s="35" t="s">
        <v>616</v>
      </c>
      <c r="B10" s="35"/>
      <c r="C10" s="35"/>
    </row>
    <row r="11" spans="1:3" ht="18" customHeight="1" x14ac:dyDescent="0.3">
      <c r="A11" s="34"/>
      <c r="B11" s="34" t="s">
        <v>584</v>
      </c>
      <c r="C11" s="36" t="s">
        <v>575</v>
      </c>
    </row>
    <row r="12" spans="1:3" ht="18" customHeight="1" x14ac:dyDescent="0.3">
      <c r="A12" s="34"/>
      <c r="B12" s="34" t="s">
        <v>585</v>
      </c>
      <c r="C12" s="37" t="s">
        <v>577</v>
      </c>
    </row>
    <row r="13" spans="1:3" ht="18" customHeight="1" x14ac:dyDescent="0.3">
      <c r="A13" s="34"/>
      <c r="B13" s="34" t="s">
        <v>586</v>
      </c>
      <c r="C13" s="37" t="s">
        <v>579</v>
      </c>
    </row>
    <row r="14" spans="1:3" ht="18" customHeight="1" x14ac:dyDescent="0.3">
      <c r="A14" s="34"/>
      <c r="B14" s="34" t="s">
        <v>587</v>
      </c>
      <c r="C14" s="38" t="s">
        <v>583</v>
      </c>
    </row>
    <row r="15" spans="1:3" ht="18" customHeight="1" x14ac:dyDescent="0.3">
      <c r="A15" s="34"/>
      <c r="B15" s="34"/>
      <c r="C15" s="34"/>
    </row>
    <row r="16" spans="1:3" ht="18" customHeight="1" x14ac:dyDescent="0.3">
      <c r="A16" s="35" t="s">
        <v>617</v>
      </c>
      <c r="B16" s="35"/>
      <c r="C16" s="35"/>
    </row>
    <row r="17" spans="1:3" ht="18" customHeight="1" x14ac:dyDescent="0.3">
      <c r="A17" s="34"/>
      <c r="B17" s="34" t="s">
        <v>588</v>
      </c>
      <c r="C17" s="36" t="s">
        <v>575</v>
      </c>
    </row>
    <row r="18" spans="1:3" ht="18" customHeight="1" x14ac:dyDescent="0.3">
      <c r="A18" s="34"/>
      <c r="B18" s="34" t="s">
        <v>589</v>
      </c>
      <c r="C18" s="37" t="s">
        <v>577</v>
      </c>
    </row>
    <row r="19" spans="1:3" ht="18" customHeight="1" x14ac:dyDescent="0.3">
      <c r="A19" s="34"/>
      <c r="B19" s="34" t="s">
        <v>590</v>
      </c>
      <c r="C19" s="38" t="s">
        <v>581</v>
      </c>
    </row>
    <row r="20" spans="1:3" ht="18" customHeight="1" x14ac:dyDescent="0.3">
      <c r="A20" s="34"/>
      <c r="B20" s="34" t="s">
        <v>591</v>
      </c>
      <c r="C20" s="38" t="s">
        <v>583</v>
      </c>
    </row>
    <row r="21" spans="1:3" ht="18" customHeight="1" x14ac:dyDescent="0.3">
      <c r="A21" s="34"/>
      <c r="B21" s="34"/>
      <c r="C21" s="34"/>
    </row>
    <row r="22" spans="1:3" ht="18" customHeight="1" x14ac:dyDescent="0.3">
      <c r="A22" s="35" t="s">
        <v>618</v>
      </c>
      <c r="B22" s="35"/>
      <c r="C22" s="35"/>
    </row>
    <row r="23" spans="1:3" ht="18" customHeight="1" x14ac:dyDescent="0.3">
      <c r="A23" s="34"/>
      <c r="B23" s="34" t="s">
        <v>592</v>
      </c>
      <c r="C23" s="36" t="s">
        <v>575</v>
      </c>
    </row>
    <row r="24" spans="1:3" ht="18" customHeight="1" x14ac:dyDescent="0.3">
      <c r="A24" s="34"/>
      <c r="B24" s="34" t="s">
        <v>593</v>
      </c>
      <c r="C24" s="37" t="s">
        <v>577</v>
      </c>
    </row>
    <row r="25" spans="1:3" ht="18" customHeight="1" x14ac:dyDescent="0.3">
      <c r="A25" s="34"/>
      <c r="B25" s="34" t="s">
        <v>594</v>
      </c>
      <c r="C25" s="38" t="s">
        <v>581</v>
      </c>
    </row>
    <row r="26" spans="1:3" ht="18" customHeight="1" x14ac:dyDescent="0.3">
      <c r="A26" s="34"/>
      <c r="B26" s="34" t="s">
        <v>595</v>
      </c>
      <c r="C26" s="38" t="s">
        <v>583</v>
      </c>
    </row>
    <row r="27" spans="1:3" ht="18" customHeight="1" x14ac:dyDescent="0.3">
      <c r="A27" s="34"/>
      <c r="B27" s="34" t="s">
        <v>596</v>
      </c>
      <c r="C27" s="38" t="s">
        <v>597</v>
      </c>
    </row>
    <row r="28" spans="1:3" ht="18" customHeight="1" x14ac:dyDescent="0.3">
      <c r="A28" s="34"/>
      <c r="B28" s="34"/>
      <c r="C28" s="34"/>
    </row>
    <row r="29" spans="1:3" ht="18" customHeight="1" x14ac:dyDescent="0.3">
      <c r="A29" s="35" t="s">
        <v>598</v>
      </c>
      <c r="B29" s="35"/>
      <c r="C29" s="35"/>
    </row>
    <row r="30" spans="1:3" ht="18" customHeight="1" x14ac:dyDescent="0.3">
      <c r="A30" s="34"/>
      <c r="B30" s="34" t="s">
        <v>599</v>
      </c>
      <c r="C30" s="36" t="s">
        <v>575</v>
      </c>
    </row>
    <row r="31" spans="1:3" ht="18" customHeight="1" x14ac:dyDescent="0.3">
      <c r="A31" s="34"/>
      <c r="B31" s="34" t="s">
        <v>600</v>
      </c>
      <c r="C31" s="37" t="s">
        <v>577</v>
      </c>
    </row>
    <row r="32" spans="1:3" ht="18" customHeight="1" x14ac:dyDescent="0.3">
      <c r="A32" s="34"/>
      <c r="B32" s="34" t="s">
        <v>601</v>
      </c>
      <c r="C32" s="37" t="s">
        <v>579</v>
      </c>
    </row>
    <row r="33" spans="1:3" ht="18" customHeight="1" x14ac:dyDescent="0.3">
      <c r="A33" s="34"/>
      <c r="B33" s="34" t="s">
        <v>602</v>
      </c>
      <c r="C33" s="38" t="s">
        <v>583</v>
      </c>
    </row>
    <row r="34" spans="1:3" ht="18" customHeight="1" x14ac:dyDescent="0.3">
      <c r="A34" s="34"/>
      <c r="B34" s="34"/>
      <c r="C34" s="34"/>
    </row>
    <row r="35" spans="1:3" ht="18" customHeight="1" x14ac:dyDescent="0.3">
      <c r="A35" s="35" t="s">
        <v>603</v>
      </c>
      <c r="B35" s="35"/>
      <c r="C35" s="35"/>
    </row>
    <row r="36" spans="1:3" ht="18" customHeight="1" x14ac:dyDescent="0.3">
      <c r="A36" s="34"/>
      <c r="B36" s="34" t="s">
        <v>604</v>
      </c>
      <c r="C36" s="36" t="s">
        <v>575</v>
      </c>
    </row>
    <row r="37" spans="1:3" ht="18" customHeight="1" x14ac:dyDescent="0.3">
      <c r="A37" s="34"/>
      <c r="B37" s="34" t="s">
        <v>605</v>
      </c>
      <c r="C37" s="37" t="s">
        <v>579</v>
      </c>
    </row>
    <row r="38" spans="1:3" ht="18" customHeight="1" x14ac:dyDescent="0.3">
      <c r="A38" s="34"/>
      <c r="B38" s="34" t="s">
        <v>606</v>
      </c>
      <c r="C38" s="38" t="s">
        <v>581</v>
      </c>
    </row>
    <row r="39" spans="1:3" ht="18" customHeight="1" x14ac:dyDescent="0.3">
      <c r="A39" s="34"/>
      <c r="B39" s="34" t="s">
        <v>607</v>
      </c>
      <c r="C39" s="38" t="s">
        <v>583</v>
      </c>
    </row>
    <row r="40" spans="1:3" ht="18" customHeight="1" x14ac:dyDescent="0.3">
      <c r="A40" s="34"/>
      <c r="B40" s="34"/>
      <c r="C40" s="34"/>
    </row>
    <row r="41" spans="1:3" ht="18" customHeight="1" x14ac:dyDescent="0.3">
      <c r="A41" s="39" t="s">
        <v>608</v>
      </c>
      <c r="B41" s="39">
        <f>ROUND(P1*0.25 + P2*0.2 + P3*0.2 + P4*0.15 + P5*0.1 + P6*0.1, 0)</f>
        <v>0</v>
      </c>
      <c r="C41" s="39"/>
    </row>
    <row r="42" spans="1:3" ht="18" customHeight="1" x14ac:dyDescent="0.3">
      <c r="A42" s="34"/>
      <c r="B42" s="34"/>
      <c r="C42" s="34"/>
    </row>
    <row r="43" spans="1:3" ht="18" customHeight="1" x14ac:dyDescent="0.3">
      <c r="A43" s="40" t="s">
        <v>609</v>
      </c>
      <c r="B43" s="40" t="s">
        <v>610</v>
      </c>
      <c r="C43" s="40" t="s">
        <v>611</v>
      </c>
    </row>
    <row r="44" spans="1:3" ht="18" customHeight="1" x14ac:dyDescent="0.3">
      <c r="A44" s="34"/>
      <c r="B44" s="34" t="s">
        <v>612</v>
      </c>
      <c r="C44" s="34" t="s">
        <v>613</v>
      </c>
    </row>
    <row r="45" spans="1:3" ht="18" customHeight="1" x14ac:dyDescent="0.3">
      <c r="A45" s="34"/>
      <c r="B45" s="34" t="s">
        <v>614</v>
      </c>
      <c r="C45" s="34" t="s">
        <v>615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Speakers &amp; Scoring</vt:lpstr>
      <vt:lpstr>Grille de scoring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Beny Green</cp:lastModifiedBy>
  <dcterms:created xsi:type="dcterms:W3CDTF">2026-06-30T20:46:20Z</dcterms:created>
  <dcterms:modified xsi:type="dcterms:W3CDTF">2026-07-03T17:41:30Z</dcterms:modified>
</cp:coreProperties>
</file>